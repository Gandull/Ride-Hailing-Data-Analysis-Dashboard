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Searches_raw" sheetId="3" r:id="rId7"/>
    <sheet state="visible" name="Activity_raw" sheetId="4" r:id="rId8"/>
    <sheet state="visible" name="Q1" sheetId="5" r:id="rId9"/>
    <sheet state="visible" name="Q2" sheetId="6" r:id="rId10"/>
    <sheet state="visible" name="Q3" sheetId="7" r:id="rId11"/>
    <sheet state="visible" name="Q4" sheetId="8" r:id="rId12"/>
    <sheet state="visible" name="Q5" sheetId="9" r:id="rId13"/>
    <sheet state="visible" name="Q6" sheetId="10" r:id="rId14"/>
    <sheet state="visible" name="Q7" sheetId="11" r:id="rId15"/>
    <sheet state="visible" name="Working tables" sheetId="12" r:id="rId16"/>
    <sheet state="visible" name="Working grafs" sheetId="13" r:id="rId17"/>
  </sheets>
  <definedNames>
    <definedName localSheetId="9" name="solver_adj">'Q6'!$N$7</definedName>
    <definedName localSheetId="9" name="solver_opt">'Q6'!$M$8</definedName>
    <definedName hidden="1" localSheetId="3" name="_xlnm._FilterDatabase">Activity_raw!$A$1:$J$170</definedName>
  </definedNames>
  <calcPr/>
  <pivotCaches>
    <pivotCache cacheId="0" r:id="rId18"/>
    <pivotCache cacheId="1" r:id="rId19"/>
    <pivotCache cacheId="2" r:id="rId20"/>
    <pivotCache cacheId="3" r:id="rId21"/>
  </pivotCaches>
</workbook>
</file>

<file path=xl/sharedStrings.xml><?xml version="1.0" encoding="utf-8"?>
<sst xmlns="http://schemas.openxmlformats.org/spreadsheetml/2006/main" count="944" uniqueCount="302">
  <si>
    <t>Intermediate Data Analysis – Operations</t>
  </si>
  <si>
    <t>Instructions</t>
  </si>
  <si>
    <r>
      <rPr>
        <rFont val="Arial"/>
        <color rgb="FF990000"/>
        <sz val="11.0"/>
        <u/>
      </rPr>
      <t>Make a copy of this speadsheet</t>
    </r>
    <r>
      <rPr>
        <rFont val="Arial"/>
        <color rgb="FF000000"/>
        <sz val="11.0"/>
      </rPr>
      <t xml:space="preserve"> and fill in all the necesary information so we can see the comments &amp; formulas.</t>
    </r>
  </si>
  <si>
    <t>Important part of our business is a supply/demand balance. We can’t control demand but we can shift some supply to necessary hours to cover more demand during peaks. As part of the task you will have sample supply and demand data over a week in a single city a few days after launch.</t>
  </si>
  <si>
    <t>Needed output:</t>
  </si>
  <si>
    <t>1) Calculate the total number of unique searches with 100% coverage and illustrate the unique searches.</t>
  </si>
  <si>
    <t>2) Illustate in a chart the demand and supply throughout the week.</t>
  </si>
  <si>
    <t>3) In a form of a 24x7 grid (hour-weekday grid), visualize a coverage heatmap.</t>
  </si>
  <si>
    <t>4) If it was possible to introduce higher pricing during specific hours to increase supply and decrease demand, what weekly schedule of price multipliers would you choose? Visualise in a heatmap and provide specific multipliers.</t>
  </si>
  <si>
    <t>5) Find the 5-hour period (consecutive hours) with highest demand and calculate how much we can spend on driver incentives, given that we want to re-invest all the revenue received in this timeframe. Assume that Finished Rides have the average value of €10 and our commission is 20%.</t>
  </si>
  <si>
    <t>6) Estimate the number of weekly trips we could have done (finished) with maximum Coverage Ratio.</t>
  </si>
  <si>
    <t>7) Find the 5 most utilized hours of the week (not necessarily consecutive), and calculate the sum of trips finished in these 5 hours. Explain how you understand the concept of driver utilization rate.</t>
  </si>
  <si>
    <t>Searches - Details</t>
  </si>
  <si>
    <t>Activity - Details:</t>
  </si>
  <si>
    <t>Shows how many people saw a car in app when setting the pickup marker on the map. If you saw a car at one point and did not see a car later, you are counted in both columns in that period.</t>
  </si>
  <si>
    <t>Hourly driver activity data for 1 full week from 2016-11-07 until 2016-11-13</t>
  </si>
  <si>
    <t>Fields</t>
  </si>
  <si>
    <t>Date – date + hour for which the row of data is presented</t>
  </si>
  <si>
    <t>Date – date and hour for which the row of data is presented</t>
  </si>
  <si>
    <t xml:space="preserve">People saw 0 cars (unique) – number of users who did not see a car.     
</t>
  </si>
  <si>
    <t>Active drivers – number of active drivers (any level of activity) available during time period</t>
  </si>
  <si>
    <t>People saw +1 cars (unique) – number of users who saw a car.</t>
  </si>
  <si>
    <t>Online (h) – total supply hours that were available during time period</t>
  </si>
  <si>
    <t>Coverage Ratio (unique) – % of users who saw a car.</t>
  </si>
  <si>
    <t>Has booking (h) – total hours during which drivers had a client booking (any state)</t>
  </si>
  <si>
    <t>Waiting for booking (h) – total hours which drivers spent waiting for booking</t>
  </si>
  <si>
    <t>Note: the data is sorted with more recent data first</t>
  </si>
  <si>
    <t>Busy (h) – total hours which drivers were not available to take orders in (coffee breaks etc.)</t>
  </si>
  <si>
    <t>Hours per active driver – average number of hours each driver was online during time period</t>
  </si>
  <si>
    <t>Rides per online hour – aka RPH – avg. finished trips per online hour during period</t>
  </si>
  <si>
    <t>Finished Rides – number of finished trips during period</t>
  </si>
  <si>
    <t>Date</t>
  </si>
  <si>
    <t>People saw 0 cars (unique)</t>
  </si>
  <si>
    <t>People saw +1 cars (unique)</t>
  </si>
  <si>
    <t>Coverage Ratio (unique)</t>
  </si>
  <si>
    <t>Hours</t>
  </si>
  <si>
    <t>Weekdays</t>
  </si>
  <si>
    <t>2016-11-13 23</t>
  </si>
  <si>
    <t>2016-11-13 22</t>
  </si>
  <si>
    <t>2016-11-13 21</t>
  </si>
  <si>
    <t>2016-11-13 20</t>
  </si>
  <si>
    <t>2016-11-13 19</t>
  </si>
  <si>
    <t>2016-11-13 18</t>
  </si>
  <si>
    <t>2016-11-13 17</t>
  </si>
  <si>
    <t>2016-11-13 16</t>
  </si>
  <si>
    <t>2016-11-13 15</t>
  </si>
  <si>
    <t>2016-11-13 14</t>
  </si>
  <si>
    <t>2016-11-13 13</t>
  </si>
  <si>
    <t>2016-11-13 12</t>
  </si>
  <si>
    <t>2016-11-13 11</t>
  </si>
  <si>
    <t>2016-11-13 10</t>
  </si>
  <si>
    <t>2016-11-13 09</t>
  </si>
  <si>
    <t>2016-11-13 08</t>
  </si>
  <si>
    <t>2016-11-13 07</t>
  </si>
  <si>
    <t>2016-11-13 06</t>
  </si>
  <si>
    <t>2016-11-13 05</t>
  </si>
  <si>
    <t>2016-11-13 04</t>
  </si>
  <si>
    <t>2016-11-13 03</t>
  </si>
  <si>
    <t>2016-11-13 02</t>
  </si>
  <si>
    <t>2016-11-13 01</t>
  </si>
  <si>
    <t>2016-11-13 00</t>
  </si>
  <si>
    <t>2016-11-12 23</t>
  </si>
  <si>
    <t>2016-11-12 22</t>
  </si>
  <si>
    <t>2016-11-12 21</t>
  </si>
  <si>
    <t>2016-11-12 20</t>
  </si>
  <si>
    <t>2016-11-12 19</t>
  </si>
  <si>
    <t>2016-11-12 18</t>
  </si>
  <si>
    <t>2016-11-12 17</t>
  </si>
  <si>
    <t>2016-11-12 16</t>
  </si>
  <si>
    <t>2016-11-12 15</t>
  </si>
  <si>
    <t>2016-11-12 14</t>
  </si>
  <si>
    <t>2016-11-12 13</t>
  </si>
  <si>
    <t>2016-11-12 12</t>
  </si>
  <si>
    <t>2016-11-12 11</t>
  </si>
  <si>
    <t>2016-11-12 10</t>
  </si>
  <si>
    <t>2016-11-12 09</t>
  </si>
  <si>
    <t>2016-11-12 08</t>
  </si>
  <si>
    <t>2016-11-12 07</t>
  </si>
  <si>
    <t>2016-11-12 06</t>
  </si>
  <si>
    <t>2016-11-12 05</t>
  </si>
  <si>
    <t>2016-11-12 04</t>
  </si>
  <si>
    <t>2016-11-12 03</t>
  </si>
  <si>
    <t>2016-11-12 02</t>
  </si>
  <si>
    <t>2016-11-12 01</t>
  </si>
  <si>
    <t>2016-11-12 00</t>
  </si>
  <si>
    <t>2016-11-11 23</t>
  </si>
  <si>
    <t>2016-11-11 22</t>
  </si>
  <si>
    <t>2016-11-11 21</t>
  </si>
  <si>
    <t>2016-11-11 20</t>
  </si>
  <si>
    <t>2016-11-11 19</t>
  </si>
  <si>
    <t>2016-11-11 18</t>
  </si>
  <si>
    <t>2016-11-11 17</t>
  </si>
  <si>
    <t>2016-11-11 16</t>
  </si>
  <si>
    <t>2016-11-11 15</t>
  </si>
  <si>
    <t>2016-11-11 14</t>
  </si>
  <si>
    <t>2016-11-11 13</t>
  </si>
  <si>
    <t>2016-11-11 12</t>
  </si>
  <si>
    <t>2016-11-11 11</t>
  </si>
  <si>
    <t>2016-11-11 10</t>
  </si>
  <si>
    <t>2016-11-11 09</t>
  </si>
  <si>
    <t>2016-11-11 08</t>
  </si>
  <si>
    <t>2016-11-11 07</t>
  </si>
  <si>
    <t>2016-11-11 06</t>
  </si>
  <si>
    <t>2016-11-11 05</t>
  </si>
  <si>
    <t>2016-11-11 04</t>
  </si>
  <si>
    <t>2016-11-11 03</t>
  </si>
  <si>
    <t>2016-11-11 02</t>
  </si>
  <si>
    <t>2016-11-11 01</t>
  </si>
  <si>
    <t>2016-11-11 00</t>
  </si>
  <si>
    <t>2016-11-10 23</t>
  </si>
  <si>
    <t>2016-11-10 22</t>
  </si>
  <si>
    <t>2016-11-10 21</t>
  </si>
  <si>
    <t>2016-11-10 20</t>
  </si>
  <si>
    <t>2016-11-10 19</t>
  </si>
  <si>
    <t>2016-11-10 18</t>
  </si>
  <si>
    <t>2016-11-10 17</t>
  </si>
  <si>
    <t>2016-11-10 16</t>
  </si>
  <si>
    <t>2016-11-10 15</t>
  </si>
  <si>
    <t>2016-11-10 14</t>
  </si>
  <si>
    <t>2016-11-10 13</t>
  </si>
  <si>
    <t>2016-11-10 12</t>
  </si>
  <si>
    <t>2016-11-10 11</t>
  </si>
  <si>
    <t>2016-11-10 10</t>
  </si>
  <si>
    <t>2016-11-10 09</t>
  </si>
  <si>
    <t>2016-11-10 08</t>
  </si>
  <si>
    <t>2016-11-10 07</t>
  </si>
  <si>
    <t>2016-11-10 06</t>
  </si>
  <si>
    <t>2016-11-10 05</t>
  </si>
  <si>
    <t>2016-11-10 04</t>
  </si>
  <si>
    <t>2016-11-10 03</t>
  </si>
  <si>
    <t>2016-11-10 02</t>
  </si>
  <si>
    <t>2016-11-10 01</t>
  </si>
  <si>
    <t>2016-11-10 00</t>
  </si>
  <si>
    <t>2016-11-09 23</t>
  </si>
  <si>
    <t>2016-11-09 22</t>
  </si>
  <si>
    <t>2016-11-09 21</t>
  </si>
  <si>
    <t>2016-11-09 20</t>
  </si>
  <si>
    <t>2016-11-09 19</t>
  </si>
  <si>
    <t>2016-11-09 18</t>
  </si>
  <si>
    <t>2016-11-09 17</t>
  </si>
  <si>
    <t>2016-11-09 16</t>
  </si>
  <si>
    <t>2016-11-09 15</t>
  </si>
  <si>
    <t>2016-11-09 14</t>
  </si>
  <si>
    <t>2016-11-09 13</t>
  </si>
  <si>
    <t>2016-11-09 12</t>
  </si>
  <si>
    <t>2016-11-09 11</t>
  </si>
  <si>
    <t>2016-11-09 10</t>
  </si>
  <si>
    <t>2016-11-09 09</t>
  </si>
  <si>
    <t>2016-11-09 08</t>
  </si>
  <si>
    <t>2016-11-09 07</t>
  </si>
  <si>
    <t>2016-11-09 06</t>
  </si>
  <si>
    <t>2016-11-09 05</t>
  </si>
  <si>
    <t>2016-11-09 04</t>
  </si>
  <si>
    <t>2016-11-09 03</t>
  </si>
  <si>
    <t>2016-11-09 02</t>
  </si>
  <si>
    <t>2016-11-09 01</t>
  </si>
  <si>
    <t>2016-11-09 00</t>
  </si>
  <si>
    <t>2016-11-08 23</t>
  </si>
  <si>
    <t>2016-11-08 22</t>
  </si>
  <si>
    <t>2016-11-08 21</t>
  </si>
  <si>
    <t>2016-11-08 20</t>
  </si>
  <si>
    <t>2016-11-08 19</t>
  </si>
  <si>
    <t>2016-11-08 18</t>
  </si>
  <si>
    <t>2016-11-08 17</t>
  </si>
  <si>
    <t>2016-11-08 16</t>
  </si>
  <si>
    <t>2016-11-08 15</t>
  </si>
  <si>
    <t>2016-11-08 14</t>
  </si>
  <si>
    <t>2016-11-08 13</t>
  </si>
  <si>
    <t>2016-11-08 12</t>
  </si>
  <si>
    <t>2016-11-08 11</t>
  </si>
  <si>
    <t>2016-11-08 10</t>
  </si>
  <si>
    <t>2016-11-08 09</t>
  </si>
  <si>
    <t>2016-11-08 08</t>
  </si>
  <si>
    <t>2016-11-08 07</t>
  </si>
  <si>
    <t>2016-11-08 06</t>
  </si>
  <si>
    <t>2016-11-08 05</t>
  </si>
  <si>
    <t>2016-11-08 04</t>
  </si>
  <si>
    <t>2016-11-08 03</t>
  </si>
  <si>
    <t>2016-11-08 02</t>
  </si>
  <si>
    <t>2016-11-08 01</t>
  </si>
  <si>
    <t>2016-11-08 00</t>
  </si>
  <si>
    <t>2016-11-07 23</t>
  </si>
  <si>
    <t>2016-11-07 22</t>
  </si>
  <si>
    <t>2016-11-07 21</t>
  </si>
  <si>
    <t>2016-11-07 20</t>
  </si>
  <si>
    <t>2016-11-07 19</t>
  </si>
  <si>
    <t>2016-11-07 18</t>
  </si>
  <si>
    <t>2016-11-07 17</t>
  </si>
  <si>
    <t>2016-11-07 16</t>
  </si>
  <si>
    <t>2016-11-07 15</t>
  </si>
  <si>
    <t>2016-11-07 14</t>
  </si>
  <si>
    <t>2016-11-07 13</t>
  </si>
  <si>
    <t>2016-11-07 12</t>
  </si>
  <si>
    <t>2016-11-07 11</t>
  </si>
  <si>
    <t>2016-11-07 10</t>
  </si>
  <si>
    <t>2016-11-07 09</t>
  </si>
  <si>
    <t>2016-11-07 08</t>
  </si>
  <si>
    <t>2016-11-07 07</t>
  </si>
  <si>
    <t>2016-11-07 06</t>
  </si>
  <si>
    <t>2016-11-07 05</t>
  </si>
  <si>
    <t>2016-11-07 04</t>
  </si>
  <si>
    <t>2016-11-07 03</t>
  </si>
  <si>
    <t>2016-11-07 02</t>
  </si>
  <si>
    <t>2016-11-07 01</t>
  </si>
  <si>
    <t>2016-11-07 00</t>
  </si>
  <si>
    <t>Active drivers</t>
  </si>
  <si>
    <t>Online (h)</t>
  </si>
  <si>
    <t>Has booking (h)</t>
  </si>
  <si>
    <t>Waiting for booking (h)</t>
  </si>
  <si>
    <t>Busy (h)</t>
  </si>
  <si>
    <t>Hours per active driver</t>
  </si>
  <si>
    <t>Rides per online hour</t>
  </si>
  <si>
    <t>Finished Rides</t>
  </si>
  <si>
    <t>Utilization</t>
  </si>
  <si>
    <t>1a) For each hour of the week, calculate the total number of unique searches with 100% coverage.</t>
  </si>
  <si>
    <t>1b) Create a pivot table to illustrate the distribution of total number of unique searches against Hours and Weekdays (24x7 grid).</t>
  </si>
  <si>
    <t>Total number of unique searches</t>
  </si>
  <si>
    <t>SUM of Coverage Ratio (unique)</t>
  </si>
  <si>
    <t>2016-11-07</t>
  </si>
  <si>
    <t>2016-11-08</t>
  </si>
  <si>
    <t>2016-11-09</t>
  </si>
  <si>
    <t>2016-11-10</t>
  </si>
  <si>
    <t>2016-11-11</t>
  </si>
  <si>
    <t>2016-11-12</t>
  </si>
  <si>
    <t>2016-11-13</t>
  </si>
  <si>
    <t>Grand Total</t>
  </si>
  <si>
    <t>00</t>
  </si>
  <si>
    <t>01</t>
  </si>
  <si>
    <t>02</t>
  </si>
  <si>
    <t>03</t>
  </si>
  <si>
    <t>04</t>
  </si>
  <si>
    <t>05</t>
  </si>
  <si>
    <t>06</t>
  </si>
  <si>
    <t>07</t>
  </si>
  <si>
    <t>08</t>
  </si>
  <si>
    <t>09</t>
  </si>
  <si>
    <t>10</t>
  </si>
  <si>
    <t>11</t>
  </si>
  <si>
    <t>12</t>
  </si>
  <si>
    <t>13</t>
  </si>
  <si>
    <t>14</t>
  </si>
  <si>
    <t>15</t>
  </si>
  <si>
    <t>16</t>
  </si>
  <si>
    <t>17</t>
  </si>
  <si>
    <t>18</t>
  </si>
  <si>
    <t>19</t>
  </si>
  <si>
    <t>20</t>
  </si>
  <si>
    <t>21</t>
  </si>
  <si>
    <t>22</t>
  </si>
  <si>
    <t>23</t>
  </si>
  <si>
    <t>Total demand</t>
  </si>
  <si>
    <t>SUM of Active drivers</t>
  </si>
  <si>
    <t>3) In a form of a 24x7 grid (hour-weekday grid), visualize a coverage heatmap. This one will be sent to drivers to show when is the best time to go online (low coverage usually suggests higher demand), make sure the format is appropiate for them!</t>
  </si>
  <si>
    <t>If coverage is below 25% (red)</t>
  </si>
  <si>
    <t>apply a 2.0 multiplier</t>
  </si>
  <si>
    <t>If coverage is between 25% and 50% (orange)</t>
  </si>
  <si>
    <t>apply a 1.7 multiplier</t>
  </si>
  <si>
    <t>If coverage is between 50% and 75% (yellow)</t>
  </si>
  <si>
    <t>apply a 1.3 multiplier</t>
  </si>
  <si>
    <t>If coverage is above 75% (green)</t>
  </si>
  <si>
    <t>apply a 1 multiplier (base)</t>
  </si>
  <si>
    <t>If people who don't see any cars is above 60</t>
  </si>
  <si>
    <t xml:space="preserve">If people who don't see any cars is above 40 but below 59 </t>
  </si>
  <si>
    <t xml:space="preserve">If people who don't see any cars is above 11 but below 39 </t>
  </si>
  <si>
    <t>If people who don't see any cars is below 10</t>
  </si>
  <si>
    <t>SUM of People saw 0 cars (unique)</t>
  </si>
  <si>
    <t>Selected 5-hour Period: The highest demand was identified during a consecutive 5-hour window spanning from Friday (2016-11-11) at 20:00 to Saturday (2016-11-12) at 00:00</t>
  </si>
  <si>
    <t>Total Finished Rides: 157</t>
  </si>
  <si>
    <t>Gross Revenue: 157 rides × €10 = €1.570</t>
  </si>
  <si>
    <t>Company Commission (20%): €1.570 × 0.20 = €314</t>
  </si>
  <si>
    <t>To maximize supply during this peak period, the entire commission of €314 should be re-invested into driver incentives. This budget can be used for "per-ride" bonuses or hourly guarantees to attract more drivers to the platform and reduce the number of users seeing "0 cars". Out of 518 searches only 157 resulted with a ride, which is 30,3%.</t>
  </si>
  <si>
    <t>For example average price per ride is €10, our commision is €2 and driver gets €8. For multiplikator 1.3 price per ride rises to €13, our commision is €2.6 and driver gets €10.4.</t>
  </si>
  <si>
    <t>By reinvesting the full €688 commission, we can offer maximum bonus of €2,4 per finished ride with 1.3 multiplier for 120 rides during this peak, or maximum bonus of €5,6 per finished ride with 1.7 multiplier for 92 rides during this peak.</t>
  </si>
  <si>
    <t>With that in mind it will significantly boosting driver retention when demand is at its absolute highest.</t>
  </si>
  <si>
    <t>SUM of Finished Rides</t>
  </si>
  <si>
    <t>To estimate the maximum potential trips, we assume a 100% Coverage Ratio, meaning every user who searched for a car would have successfully completed a trip.</t>
  </si>
  <si>
    <t>Methodology: The estimation is based on the Total Demand, which is the sum of users who saw 0 cars and users who saw 1+ cars.</t>
  </si>
  <si>
    <t>Total Weekly Potential Trips: According to the data in the "Grand Total" section of the Demand Pivot Table, the total number of searches for the week was 7,047.</t>
  </si>
  <si>
    <t>Current Finished Trips: From the "People saw +1 cars" table, the actual number of finished trips was 5,189.</t>
  </si>
  <si>
    <t>Potential Growth: By reaching maximum coverage, the platform could have completed an additional 1,858 trips (7,047 potential - 5,189 actual).</t>
  </si>
  <si>
    <t>Revenue Loss Calculation</t>
  </si>
  <si>
    <t>To calculate the impact of not reaching maximum coverage, we look at the difference between potential demand and actual finished trips:</t>
  </si>
  <si>
    <t>Total Potential Trips (100% Coverage): 7,047 trips.</t>
  </si>
  <si>
    <t>Actual Finished Trips: 5,189 trips.</t>
  </si>
  <si>
    <t>Lost Opportunity (Unmet Demand): 1,858 trips.</t>
  </si>
  <si>
    <t>Financial Impact:</t>
  </si>
  <si>
    <t>Gross Revenue Loss: 1,858 trips × €10 = €18,580.</t>
  </si>
  <si>
    <t>Net Commission Loss (20%): €18,580 × 0.20 = €3,716.</t>
  </si>
  <si>
    <t>7a) Explain how you understand the concept of driver utilization rate.</t>
  </si>
  <si>
    <t>7b) Find the 5 most utilized hours of the week (not necessarily consecutive), and calculate the sum of trips finished in these 5 hours.</t>
  </si>
  <si>
    <t>Concept of Driver Utilization Rate: Driver utilization is defined as the percentage of time drivers spend actively fulfilling a client booking ("Has booking (h)") relative to their total available supply time ("Online (h)").</t>
  </si>
  <si>
    <t>In my analysis, the most utilized hours occur during peak evening shifts (18:00–19:00) and Friday/Saturday midnight. A high utilization rate (e.g., 74% on Saturday at 00:00) indicates that drivers are consistently busy with back-to-back trips, leaving very little idle time. While high utilization is good for driver earnings, rates approaching 80-90% often correlate with a lower Coverage Ratio, as there aren't enough free cars to meet incoming demand</t>
  </si>
  <si>
    <t xml:space="preserve">5 most utilized hours of the week </t>
  </si>
  <si>
    <t>SUM of finished rides for given dates is</t>
  </si>
  <si>
    <t>(2016-11-12) u 00:00 with 74,07% utilization</t>
  </si>
  <si>
    <t>(2016-11-11) u 18:00 with 70,37% utilization</t>
  </si>
  <si>
    <t>(2016-11-11) u 20:00 with 68,00% utilization</t>
  </si>
  <si>
    <t>(2016-11-11) u 19:00 with 66,67% utilization</t>
  </si>
  <si>
    <t>(2016-11-08) u 18:00 with 63,64% utilization</t>
  </si>
  <si>
    <t>SUM of Utilization</t>
  </si>
  <si>
    <t>SUM of Rides per online hour</t>
  </si>
  <si>
    <t>AVERAGE</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</si>
</sst>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libri"/>
      <scheme val="minor"/>
    </font>
    <font>
      <sz val="11.0"/>
      <color rgb="FF000000"/>
      <name val="Calibri"/>
    </font>
    <font>
      <b/>
      <sz val="16.0"/>
      <color rgb="FF000000"/>
      <name val="Arial"/>
    </font>
    <font>
      <sz val="20.0"/>
      <color rgb="FF000000"/>
      <name val="Arial"/>
    </font>
    <font>
      <sz val="11.0"/>
      <color rgb="FF000000"/>
      <name val="Arial"/>
    </font>
    <font>
      <b/>
      <u/>
      <sz val="11.0"/>
      <color rgb="FF000000"/>
      <name val="Arial"/>
    </font>
    <font/>
    <font>
      <b/>
      <sz val="12.0"/>
      <color rgb="FF40DF6D"/>
      <name val="Arial"/>
    </font>
    <font>
      <b/>
      <sz val="12.0"/>
      <color rgb="FF000000"/>
      <name val="Arial"/>
    </font>
    <font>
      <b/>
      <sz val="11.0"/>
      <color rgb="FF000000"/>
      <name val="Arial"/>
    </font>
    <font>
      <sz val="10.0"/>
      <color rgb="FF000000"/>
      <name val="Arial"/>
    </font>
    <font>
      <i/>
      <sz val="11.0"/>
      <color rgb="FF000000"/>
      <name val="Arial"/>
    </font>
    <font>
      <b/>
      <sz val="12.0"/>
      <color rgb="FF000000"/>
      <name val="Calibri"/>
    </font>
    <font>
      <b/>
      <sz val="12.0"/>
      <color theme="1"/>
      <name val="Calibri"/>
      <scheme val="minor"/>
    </font>
    <font>
      <sz val="12.0"/>
      <color rgb="FF000000"/>
      <name val="Calibri"/>
    </font>
    <font>
      <sz val="12.0"/>
      <color theme="1"/>
      <name val="Calibri"/>
      <scheme val="minor"/>
    </font>
    <font>
      <color theme="1"/>
      <name val="Calibri"/>
      <scheme val="minor"/>
    </font>
    <font>
      <b/>
      <sz val="11.0"/>
      <color rgb="FF000000"/>
      <name val="Calibri"/>
    </font>
    <font>
      <b/>
      <color theme="1"/>
      <name val="Calibri"/>
      <scheme val="minor"/>
    </font>
    <font>
      <b/>
      <color theme="1"/>
      <name val="&quot;Google Sans Text&quot;"/>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5">
    <border/>
    <border>
      <left/>
      <right/>
      <top/>
      <bottom/>
    </border>
    <border>
      <bottom style="hair">
        <color rgb="FF40DF6D"/>
      </bottom>
    </border>
    <border>
      <top style="hair">
        <color rgb="FF40DF6D"/>
      </top>
      <bottom style="hair">
        <color rgb="FF40DF6D"/>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vertical="center"/>
    </xf>
    <xf borderId="0" fillId="0" fontId="3" numFmtId="0" xfId="0" applyAlignment="1" applyFont="1">
      <alignment readingOrder="0"/>
    </xf>
    <xf borderId="0" fillId="0" fontId="4" numFmtId="0" xfId="0" applyFont="1"/>
    <xf borderId="0" fillId="0" fontId="4" numFmtId="0" xfId="0" applyAlignment="1" applyFont="1">
      <alignment horizontal="left" readingOrder="0" shrinkToFit="0" vertical="center" wrapText="1"/>
    </xf>
    <xf borderId="0" fillId="0" fontId="4" numFmtId="0" xfId="0" applyAlignment="1" applyFont="1">
      <alignment horizontal="left"/>
    </xf>
    <xf borderId="0" fillId="0" fontId="5" numFmtId="0" xfId="0" applyFont="1"/>
    <xf borderId="2" fillId="0" fontId="4" numFmtId="0" xfId="0" applyAlignment="1" applyBorder="1" applyFont="1">
      <alignment horizontal="left" readingOrder="0" shrinkToFit="0" vertical="center" wrapText="1"/>
    </xf>
    <xf borderId="2" fillId="0" fontId="6" numFmtId="0" xfId="0" applyBorder="1" applyFont="1"/>
    <xf borderId="0" fillId="0" fontId="7" numFmtId="0" xfId="0" applyAlignment="1" applyFont="1">
      <alignment horizontal="center" vertical="center"/>
    </xf>
    <xf borderId="0" fillId="0" fontId="4" numFmtId="0" xfId="0" applyAlignment="1" applyFont="1">
      <alignment horizontal="left" shrinkToFit="0" vertical="center" wrapText="1"/>
    </xf>
    <xf borderId="0" fillId="0" fontId="8" numFmtId="0" xfId="0" applyAlignment="1" applyFont="1">
      <alignment horizontal="center" vertical="center"/>
    </xf>
    <xf borderId="0" fillId="0" fontId="1" numFmtId="0" xfId="0" applyAlignment="1" applyFont="1">
      <alignment vertical="center"/>
    </xf>
    <xf borderId="3" fillId="0" fontId="4" numFmtId="0" xfId="0" applyAlignment="1" applyBorder="1" applyFont="1">
      <alignment horizontal="left" readingOrder="0" shrinkToFit="0" vertical="center" wrapText="1"/>
    </xf>
    <xf borderId="3" fillId="0" fontId="6" numFmtId="0" xfId="0" applyBorder="1" applyFont="1"/>
    <xf borderId="0" fillId="0" fontId="3" numFmtId="0" xfId="0" applyFont="1"/>
    <xf borderId="0" fillId="0" fontId="9" numFmtId="0" xfId="0" applyAlignment="1" applyFont="1">
      <alignment horizontal="left" vertical="center"/>
    </xf>
    <xf borderId="0" fillId="0" fontId="9" numFmtId="0" xfId="0" applyAlignment="1" applyFont="1">
      <alignment horizontal="left" readingOrder="0" vertical="center"/>
    </xf>
    <xf borderId="0" fillId="0" fontId="10" numFmtId="0" xfId="0" applyFont="1"/>
    <xf borderId="0" fillId="0" fontId="1" numFmtId="0" xfId="0" applyFont="1"/>
    <xf borderId="0" fillId="0" fontId="10" numFmtId="0" xfId="0" applyAlignment="1" applyFont="1">
      <alignment horizontal="left"/>
    </xf>
    <xf borderId="0" fillId="0" fontId="11" numFmtId="0" xfId="0" applyFont="1"/>
    <xf borderId="0" fillId="0" fontId="1" numFmtId="4" xfId="0" applyFont="1" applyNumberFormat="1"/>
    <xf borderId="0" fillId="0" fontId="12" numFmtId="0" xfId="0" applyFont="1"/>
    <xf borderId="0" fillId="0" fontId="12" numFmtId="0" xfId="0" applyAlignment="1" applyFont="1">
      <alignment readingOrder="0"/>
    </xf>
    <xf borderId="0" fillId="0" fontId="13" numFmtId="0" xfId="0" applyAlignment="1" applyFont="1">
      <alignment horizontal="center" readingOrder="0"/>
    </xf>
    <xf borderId="0" fillId="0" fontId="13" numFmtId="0" xfId="0" applyAlignment="1" applyFont="1">
      <alignment readingOrder="0"/>
    </xf>
    <xf borderId="0" fillId="0" fontId="14" numFmtId="0" xfId="0" applyFont="1"/>
    <xf borderId="0" fillId="0" fontId="14" numFmtId="0" xfId="0" applyAlignment="1" applyFont="1">
      <alignment horizontal="right"/>
    </xf>
    <xf borderId="0" fillId="0" fontId="15" numFmtId="0" xfId="0" applyAlignment="1" applyFont="1">
      <alignment horizontal="center"/>
    </xf>
    <xf borderId="0" fillId="0" fontId="15" numFmtId="0" xfId="0" applyFont="1"/>
    <xf borderId="0" fillId="0" fontId="16" numFmtId="0" xfId="0" applyFont="1"/>
    <xf borderId="0" fillId="0" fontId="12" numFmtId="10" xfId="0" applyAlignment="1" applyFont="1" applyNumberFormat="1">
      <alignment readingOrder="0"/>
    </xf>
    <xf borderId="0" fillId="0" fontId="15" numFmtId="10" xfId="0" applyFont="1" applyNumberFormat="1"/>
    <xf borderId="0" fillId="0" fontId="17" numFmtId="0" xfId="0" applyAlignment="1" applyFont="1">
      <alignment horizontal="left" shrinkToFit="0" wrapText="1"/>
    </xf>
    <xf borderId="0" fillId="0" fontId="17" numFmtId="0" xfId="0" applyAlignment="1" applyFont="1">
      <alignment horizontal="left" readingOrder="0"/>
    </xf>
    <xf borderId="0" fillId="0" fontId="16" numFmtId="0" xfId="0" applyAlignment="1" applyFont="1">
      <alignment shrinkToFit="0" wrapText="1"/>
    </xf>
    <xf borderId="0" fillId="0" fontId="17" numFmtId="0" xfId="0" applyAlignment="1" applyFont="1">
      <alignment horizontal="left"/>
    </xf>
    <xf borderId="0" fillId="0" fontId="17" numFmtId="0" xfId="0" applyAlignment="1" applyFont="1">
      <alignment horizontal="center" vertical="center"/>
    </xf>
    <xf borderId="0" fillId="0" fontId="17"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7" numFmtId="0" xfId="0" applyFont="1"/>
    <xf borderId="0" fillId="0" fontId="18" numFmtId="0" xfId="0" applyFont="1"/>
    <xf borderId="0" fillId="0" fontId="1" numFmtId="0" xfId="0" applyAlignment="1" applyFont="1">
      <alignment horizontal="left"/>
    </xf>
    <xf borderId="0" fillId="0" fontId="1" numFmtId="9" xfId="0" applyFont="1" applyNumberFormat="1"/>
    <xf borderId="0" fillId="0" fontId="14" numFmtId="0" xfId="0" applyAlignment="1" applyFont="1">
      <alignment vertical="center"/>
    </xf>
    <xf borderId="0" fillId="0" fontId="17" numFmtId="0" xfId="0" applyFont="1"/>
    <xf borderId="0" fillId="0" fontId="17" numFmtId="0" xfId="0" applyAlignment="1" applyFont="1">
      <alignment shrinkToFit="0" wrapText="1"/>
    </xf>
    <xf borderId="0" fillId="0" fontId="17" numFmtId="0" xfId="0" applyAlignment="1" applyFont="1">
      <alignment horizontal="right"/>
    </xf>
    <xf borderId="0" fillId="0" fontId="16" numFmtId="1" xfId="0" applyFont="1" applyNumberFormat="1"/>
    <xf borderId="0" fillId="0" fontId="17" numFmtId="0" xfId="0" applyAlignment="1" applyFont="1">
      <alignment readingOrder="0" shrinkToFit="0" wrapText="1"/>
    </xf>
    <xf borderId="0" fillId="0" fontId="18" numFmtId="0" xfId="0" applyAlignment="1" applyFont="1">
      <alignment readingOrder="0"/>
    </xf>
    <xf borderId="0" fillId="0" fontId="1" numFmtId="1" xfId="0" applyAlignment="1" applyFont="1" applyNumberFormat="1">
      <alignment readingOrder="0"/>
    </xf>
    <xf borderId="0" fillId="0" fontId="16" numFmtId="0" xfId="0" applyAlignment="1" applyFont="1">
      <alignment readingOrder="0"/>
    </xf>
    <xf borderId="0" fillId="0" fontId="16" numFmtId="0" xfId="0" applyAlignment="1" applyFont="1">
      <alignment horizontal="left" readingOrder="0" shrinkToFit="0" vertical="center" wrapText="0"/>
    </xf>
    <xf borderId="0" fillId="0" fontId="16" numFmtId="0" xfId="0" applyAlignment="1" applyFont="1">
      <alignment shrinkToFit="0" vertical="center" wrapText="0"/>
    </xf>
    <xf borderId="0" fillId="0" fontId="1" numFmtId="4" xfId="0" applyAlignment="1" applyFont="1" applyNumberFormat="1">
      <alignment shrinkToFit="0" vertical="center" wrapText="0"/>
    </xf>
    <xf borderId="4" fillId="0" fontId="1" numFmtId="0" xfId="0" applyBorder="1" applyFont="1"/>
    <xf borderId="4" fillId="0" fontId="16" numFmtId="0" xfId="0" applyBorder="1" applyFont="1"/>
    <xf borderId="4" fillId="0" fontId="1" numFmtId="1" xfId="0" applyBorder="1" applyFont="1" applyNumberFormat="1"/>
    <xf borderId="0" fillId="0" fontId="1" numFmtId="0" xfId="0" applyAlignment="1" applyFont="1">
      <alignment shrinkToFit="0" wrapText="1"/>
    </xf>
    <xf borderId="0" fillId="0" fontId="17" numFmtId="0" xfId="0" applyAlignment="1" applyFont="1">
      <alignment horizontal="left" readingOrder="0" shrinkToFit="0" wrapText="1"/>
    </xf>
    <xf borderId="0" fillId="0" fontId="18" numFmtId="0" xfId="0" applyAlignment="1" applyFont="1">
      <alignment readingOrder="0" shrinkToFit="0" wrapText="1"/>
    </xf>
    <xf borderId="0" fillId="0" fontId="18" numFmtId="0" xfId="0" applyAlignment="1" applyFont="1">
      <alignment readingOrder="0" shrinkToFit="0" vertical="center" wrapText="1"/>
    </xf>
    <xf borderId="0" fillId="3" fontId="16" numFmtId="0" xfId="0" applyAlignment="1" applyFill="1" applyFont="1">
      <alignment shrinkToFit="0" wrapText="1"/>
    </xf>
    <xf borderId="0" fillId="3" fontId="16" numFmtId="0" xfId="0" applyFont="1"/>
    <xf borderId="0" fillId="0" fontId="18" numFmtId="0" xfId="0" applyAlignment="1" applyFont="1">
      <alignment horizontal="left" readingOrder="0" shrinkToFit="0" vertical="center" wrapText="1"/>
    </xf>
    <xf borderId="0" fillId="0" fontId="17" numFmtId="0" xfId="0" applyAlignment="1" applyFont="1">
      <alignment readingOrder="0"/>
    </xf>
    <xf borderId="0" fillId="0" fontId="19" numFmtId="0" xfId="0" applyFont="1"/>
    <xf borderId="0" fillId="0" fontId="1" numFmtId="10" xfId="0" applyFont="1" applyNumberFormat="1"/>
    <xf borderId="0" fillId="0" fontId="17" numFmtId="10" xfId="0" applyFont="1" applyNumberFormat="1"/>
    <xf borderId="0" fillId="0" fontId="16" numFmtId="10" xfId="0" applyFont="1" applyNumberFormat="1"/>
    <xf borderId="0" fillId="0" fontId="16" numFmtId="0" xfId="0" applyAlignment="1" applyFont="1">
      <alignment readingOrder="0"/>
    </xf>
    <xf borderId="0" fillId="0" fontId="16" numFmtId="2" xfId="0" applyFont="1" applyNumberFormat="1"/>
    <xf borderId="0" fillId="0" fontId="12" numFmtId="0" xfId="0" applyAlignment="1" applyFont="1">
      <alignment readingOrder="0" shrinkToFit="0" wrapText="1"/>
    </xf>
    <xf borderId="0" fillId="0" fontId="16"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Q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4.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demand i SUM of Active drivers</a:t>
            </a:r>
          </a:p>
        </c:rich>
      </c:tx>
      <c:overlay val="0"/>
    </c:title>
    <c:plotArea>
      <c:layout/>
      <c:barChart>
        <c:barDir val="col"/>
        <c:ser>
          <c:idx val="0"/>
          <c:order val="0"/>
          <c:tx>
            <c:strRef>
              <c:f>'Q2'!$C$4</c:f>
            </c:strRef>
          </c:tx>
          <c:spPr>
            <a:solidFill>
              <a:schemeClr val="accent1"/>
            </a:solidFill>
            <a:ln cmpd="sng">
              <a:solidFill>
                <a:srgbClr val="000000"/>
              </a:solidFill>
            </a:ln>
          </c:spPr>
          <c:cat>
            <c:strRef>
              <c:f>'Q2'!$B$5:$B$12</c:f>
            </c:strRef>
          </c:cat>
          <c:val>
            <c:numRef>
              <c:f>'Q2'!$C$5:$C$12</c:f>
              <c:numCache/>
            </c:numRef>
          </c:val>
        </c:ser>
        <c:ser>
          <c:idx val="1"/>
          <c:order val="1"/>
          <c:tx>
            <c:strRef>
              <c:f>'Q2'!$D$4</c:f>
            </c:strRef>
          </c:tx>
          <c:spPr>
            <a:solidFill>
              <a:schemeClr val="accent2"/>
            </a:solidFill>
            <a:ln cmpd="sng">
              <a:solidFill>
                <a:srgbClr val="000000"/>
              </a:solidFill>
            </a:ln>
          </c:spPr>
          <c:cat>
            <c:strRef>
              <c:f>'Q2'!$B$5:$B$12</c:f>
            </c:strRef>
          </c:cat>
          <c:val>
            <c:numRef>
              <c:f>'Q2'!$D$5:$D$12</c:f>
              <c:numCache/>
            </c:numRef>
          </c:val>
        </c:ser>
        <c:axId val="704737434"/>
        <c:axId val="1869176613"/>
      </c:barChart>
      <c:catAx>
        <c:axId val="704737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Weekdays</a:t>
                </a:r>
              </a:p>
            </c:rich>
          </c:tx>
          <c:overlay val="0"/>
        </c:title>
        <c:numFmt formatCode="General" sourceLinked="1"/>
        <c:majorTickMark val="none"/>
        <c:minorTickMark val="none"/>
        <c:spPr/>
        <c:txPr>
          <a:bodyPr/>
          <a:lstStyle/>
          <a:p>
            <a:pPr lvl="0">
              <a:defRPr b="0">
                <a:solidFill>
                  <a:srgbClr val="000000"/>
                </a:solidFill>
                <a:latin typeface="+mn-lt"/>
              </a:defRPr>
            </a:pPr>
          </a:p>
        </c:txPr>
        <c:crossAx val="1869176613"/>
      </c:catAx>
      <c:valAx>
        <c:axId val="18691766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473743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Supply vs. Unmet Demand Analysis</a:t>
            </a:r>
          </a:p>
        </c:rich>
      </c:tx>
      <c:overlay val="0"/>
    </c:title>
    <c:plotArea>
      <c:layout/>
      <c:barChart>
        <c:barDir val="col"/>
        <c:ser>
          <c:idx val="0"/>
          <c:order val="0"/>
          <c:tx>
            <c:strRef>
              <c:f>'Working grafs'!$D$1</c:f>
            </c:strRef>
          </c:tx>
          <c:spPr>
            <a:solidFill>
              <a:schemeClr val="accent1"/>
            </a:solidFill>
            <a:ln cmpd="sng">
              <a:solidFill>
                <a:srgbClr val="000000"/>
              </a:solidFill>
            </a:ln>
          </c:spPr>
          <c:cat>
            <c:strRef>
              <c:f>'Working grafs'!$B$2:$B$17</c:f>
            </c:strRef>
          </c:cat>
          <c:val>
            <c:numRef>
              <c:f>'Working grafs'!$D$2:$D$17</c:f>
              <c:numCache/>
            </c:numRef>
          </c:val>
        </c:ser>
        <c:axId val="696949932"/>
        <c:axId val="491101281"/>
      </c:barChart>
      <c:lineChart>
        <c:varyColors val="0"/>
        <c:ser>
          <c:idx val="1"/>
          <c:order val="1"/>
          <c:tx>
            <c:strRef>
              <c:f>'Working grafs'!$B$1</c:f>
            </c:strRef>
          </c:tx>
          <c:spPr>
            <a:ln cmpd="sng">
              <a:solidFill>
                <a:srgbClr val="ED7D31"/>
              </a:solidFill>
            </a:ln>
          </c:spPr>
          <c:marker>
            <c:symbol val="none"/>
          </c:marker>
          <c:cat>
            <c:strRef>
              <c:f>'Working grafs'!$B$2:$B$17</c:f>
            </c:strRef>
          </c:cat>
          <c:val>
            <c:numRef>
              <c:f>'Working grafs'!$B$2:$B$17</c:f>
              <c:numCache/>
            </c:numRef>
          </c:val>
          <c:smooth val="0"/>
        </c:ser>
        <c:axId val="696949932"/>
        <c:axId val="491101281"/>
      </c:lineChart>
      <c:catAx>
        <c:axId val="696949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1101281"/>
      </c:catAx>
      <c:valAx>
        <c:axId val="491101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694993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Supply vs. Unmet Demand Analysis</a:t>
            </a:r>
          </a:p>
        </c:rich>
      </c:tx>
      <c:overlay val="0"/>
    </c:title>
    <c:plotArea>
      <c:layout/>
      <c:barChart>
        <c:barDir val="col"/>
        <c:ser>
          <c:idx val="0"/>
          <c:order val="0"/>
          <c:tx>
            <c:strRef>
              <c:f>'Working grafs'!$D$1</c:f>
            </c:strRef>
          </c:tx>
          <c:spPr>
            <a:solidFill>
              <a:schemeClr val="accent1"/>
            </a:solidFill>
            <a:ln cmpd="sng">
              <a:solidFill>
                <a:srgbClr val="000000"/>
              </a:solidFill>
            </a:ln>
          </c:spPr>
          <c:cat>
            <c:strRef>
              <c:f>'Working grafs'!$B$2:$B$17</c:f>
            </c:strRef>
          </c:cat>
          <c:val>
            <c:numRef>
              <c:f>'Working grafs'!$D$2:$D$17</c:f>
              <c:numCache/>
            </c:numRef>
          </c:val>
        </c:ser>
        <c:axId val="1999110939"/>
        <c:axId val="1906439312"/>
      </c:barChart>
      <c:lineChart>
        <c:varyColors val="0"/>
        <c:ser>
          <c:idx val="1"/>
          <c:order val="1"/>
          <c:tx>
            <c:strRef>
              <c:f>'Working grafs'!$B$1</c:f>
            </c:strRef>
          </c:tx>
          <c:spPr>
            <a:ln cmpd="sng">
              <a:solidFill>
                <a:srgbClr val="ED7D31"/>
              </a:solidFill>
            </a:ln>
          </c:spPr>
          <c:marker>
            <c:symbol val="none"/>
          </c:marker>
          <c:cat>
            <c:strRef>
              <c:f>'Working grafs'!$B$2:$B$17</c:f>
            </c:strRef>
          </c:cat>
          <c:val>
            <c:numRef>
              <c:f>'Working grafs'!$B$2:$B$17</c:f>
              <c:numCache/>
            </c:numRef>
          </c:val>
          <c:smooth val="0"/>
        </c:ser>
        <c:axId val="1999110939"/>
        <c:axId val="1906439312"/>
      </c:lineChart>
      <c:catAx>
        <c:axId val="1999110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6439312"/>
      </c:catAx>
      <c:valAx>
        <c:axId val="1906439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911093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Supply vs. Unmet Demand Analysis</a:t>
            </a:r>
          </a:p>
        </c:rich>
      </c:tx>
      <c:overlay val="0"/>
    </c:title>
    <c:plotArea>
      <c:layout/>
      <c:barChart>
        <c:barDir val="col"/>
        <c:ser>
          <c:idx val="0"/>
          <c:order val="0"/>
          <c:tx>
            <c:strRef>
              <c:f>'Working grafs'!$D$1</c:f>
            </c:strRef>
          </c:tx>
          <c:spPr>
            <a:solidFill>
              <a:schemeClr val="accent1"/>
            </a:solidFill>
            <a:ln cmpd="sng">
              <a:solidFill>
                <a:srgbClr val="000000"/>
              </a:solidFill>
            </a:ln>
          </c:spPr>
          <c:cat>
            <c:strRef>
              <c:f>'Working grafs'!$B$2:$B$17</c:f>
            </c:strRef>
          </c:cat>
          <c:val>
            <c:numRef>
              <c:f>'Working grafs'!$D$2:$D$17</c:f>
              <c:numCache/>
            </c:numRef>
          </c:val>
        </c:ser>
        <c:axId val="1985659471"/>
        <c:axId val="490098908"/>
      </c:barChart>
      <c:lineChart>
        <c:varyColors val="0"/>
        <c:ser>
          <c:idx val="1"/>
          <c:order val="1"/>
          <c:tx>
            <c:strRef>
              <c:f>'Working grafs'!$B$1</c:f>
            </c:strRef>
          </c:tx>
          <c:spPr>
            <a:ln cmpd="sng">
              <a:solidFill>
                <a:srgbClr val="ED7D31"/>
              </a:solidFill>
            </a:ln>
          </c:spPr>
          <c:marker>
            <c:symbol val="none"/>
          </c:marker>
          <c:cat>
            <c:strRef>
              <c:f>'Working grafs'!$B$2:$B$17</c:f>
            </c:strRef>
          </c:cat>
          <c:val>
            <c:numRef>
              <c:f>'Working grafs'!$B$2:$B$17</c:f>
              <c:numCache/>
            </c:numRef>
          </c:val>
          <c:smooth val="0"/>
        </c:ser>
        <c:axId val="1985659471"/>
        <c:axId val="490098908"/>
      </c:lineChart>
      <c:catAx>
        <c:axId val="19856594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0098908"/>
      </c:catAx>
      <c:valAx>
        <c:axId val="490098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659471"/>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504825</xdr:colOff>
      <xdr:row>3</xdr:row>
      <xdr:rowOff>38100</xdr:rowOff>
    </xdr:from>
    <xdr:ext cx="7753350" cy="4791075"/>
    <xdr:graphicFrame>
      <xdr:nvGraphicFramePr>
        <xdr:cNvPr id="1" name="Chart 1" title="Grafik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97</xdr:row>
      <xdr:rowOff>104775</xdr:rowOff>
    </xdr:from>
    <xdr:ext cx="8810625" cy="5448300"/>
    <xdr:graphicFrame>
      <xdr:nvGraphicFramePr>
        <xdr:cNvPr id="2" name="Chart 2" title="Grafik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74</xdr:row>
      <xdr:rowOff>161925</xdr:rowOff>
    </xdr:from>
    <xdr:ext cx="8810625" cy="5448300"/>
    <xdr:graphicFrame>
      <xdr:nvGraphicFramePr>
        <xdr:cNvPr id="3" name="Chart 3" title="Grafik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0</xdr:row>
      <xdr:rowOff>104775</xdr:rowOff>
    </xdr:from>
    <xdr:ext cx="8810625" cy="5448300"/>
    <xdr:graphicFrame>
      <xdr:nvGraphicFramePr>
        <xdr:cNvPr id="4" name="Chart 4" title="Grafik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69" sheet="Searches_raw"/>
  </cacheSource>
  <cacheFields>
    <cacheField name="Date" numFmtId="0">
      <sharedItems>
        <s v="2016-11-13 23"/>
        <s v="2016-11-13 22"/>
        <s v="2016-11-13 21"/>
        <s v="2016-11-13 20"/>
        <s v="2016-11-13 19"/>
        <s v="2016-11-13 18"/>
        <s v="2016-11-13 17"/>
        <s v="2016-11-13 16"/>
        <s v="2016-11-13 15"/>
        <s v="2016-11-13 14"/>
        <s v="2016-11-13 13"/>
        <s v="2016-11-13 12"/>
        <s v="2016-11-13 11"/>
        <s v="2016-11-13 10"/>
        <s v="2016-11-13 09"/>
        <s v="2016-11-13 08"/>
        <s v="2016-11-13 07"/>
        <s v="2016-11-13 06"/>
        <s v="2016-11-13 05"/>
        <s v="2016-11-13 04"/>
        <s v="2016-11-13 03"/>
        <s v="2016-11-13 02"/>
        <s v="2016-11-13 01"/>
        <s v="2016-11-13 00"/>
        <s v="2016-11-12 23"/>
        <s v="2016-11-12 22"/>
        <s v="2016-11-12 21"/>
        <s v="2016-11-12 20"/>
        <s v="2016-11-12 19"/>
        <s v="2016-11-12 18"/>
        <s v="2016-11-12 17"/>
        <s v="2016-11-12 16"/>
        <s v="2016-11-12 15"/>
        <s v="2016-11-12 14"/>
        <s v="2016-11-12 13"/>
        <s v="2016-11-12 12"/>
        <s v="2016-11-12 11"/>
        <s v="2016-11-12 10"/>
        <s v="2016-11-12 09"/>
        <s v="2016-11-12 08"/>
        <s v="2016-11-12 07"/>
        <s v="2016-11-12 06"/>
        <s v="2016-11-12 05"/>
        <s v="2016-11-12 04"/>
        <s v="2016-11-12 03"/>
        <s v="2016-11-12 02"/>
        <s v="2016-11-12 01"/>
        <s v="2016-11-12 00"/>
        <s v="2016-11-11 23"/>
        <s v="2016-11-11 22"/>
        <s v="2016-11-11 21"/>
        <s v="2016-11-11 20"/>
        <s v="2016-11-11 19"/>
        <s v="2016-11-11 18"/>
        <s v="2016-11-11 17"/>
        <s v="2016-11-11 16"/>
        <s v="2016-11-11 15"/>
        <s v="2016-11-11 14"/>
        <s v="2016-11-11 13"/>
        <s v="2016-11-11 12"/>
        <s v="2016-11-11 11"/>
        <s v="2016-11-11 10"/>
        <s v="2016-11-11 09"/>
        <s v="2016-11-11 08"/>
        <s v="2016-11-11 07"/>
        <s v="2016-11-11 06"/>
        <s v="2016-11-11 05"/>
        <s v="2016-11-11 04"/>
        <s v="2016-11-11 03"/>
        <s v="2016-11-11 02"/>
        <s v="2016-11-11 01"/>
        <s v="2016-11-11 00"/>
        <s v="2016-11-10 23"/>
        <s v="2016-11-10 22"/>
        <s v="2016-11-10 21"/>
        <s v="2016-11-10 20"/>
        <s v="2016-11-10 19"/>
        <s v="2016-11-10 18"/>
        <s v="2016-11-10 17"/>
        <s v="2016-11-10 16"/>
        <s v="2016-11-10 15"/>
        <s v="2016-11-10 14"/>
        <s v="2016-11-10 13"/>
        <s v="2016-11-10 12"/>
        <s v="2016-11-10 11"/>
        <s v="2016-11-10 10"/>
        <s v="2016-11-10 09"/>
        <s v="2016-11-10 08"/>
        <s v="2016-11-10 07"/>
        <s v="2016-11-10 06"/>
        <s v="2016-11-10 05"/>
        <s v="2016-11-10 04"/>
        <s v="2016-11-10 03"/>
        <s v="2016-11-10 02"/>
        <s v="2016-11-10 01"/>
        <s v="2016-11-10 00"/>
        <s v="2016-11-09 23"/>
        <s v="2016-11-09 22"/>
        <s v="2016-11-09 21"/>
        <s v="2016-11-09 20"/>
        <s v="2016-11-09 19"/>
        <s v="2016-11-09 18"/>
        <s v="2016-11-09 17"/>
        <s v="2016-11-09 16"/>
        <s v="2016-11-09 15"/>
        <s v="2016-11-09 14"/>
        <s v="2016-11-09 13"/>
        <s v="2016-11-09 12"/>
        <s v="2016-11-09 11"/>
        <s v="2016-11-09 10"/>
        <s v="2016-11-09 09"/>
        <s v="2016-11-09 08"/>
        <s v="2016-11-09 07"/>
        <s v="2016-11-09 06"/>
        <s v="2016-11-09 05"/>
        <s v="2016-11-09 04"/>
        <s v="2016-11-09 03"/>
        <s v="2016-11-09 02"/>
        <s v="2016-11-09 01"/>
        <s v="2016-11-09 00"/>
        <s v="2016-11-08 23"/>
        <s v="2016-11-08 22"/>
        <s v="2016-11-08 21"/>
        <s v="2016-11-08 20"/>
        <s v="2016-11-08 19"/>
        <s v="2016-11-08 18"/>
        <s v="2016-11-08 17"/>
        <s v="2016-11-08 16"/>
        <s v="2016-11-08 15"/>
        <s v="2016-11-08 14"/>
        <s v="2016-11-08 13"/>
        <s v="2016-11-08 12"/>
        <s v="2016-11-08 11"/>
        <s v="2016-11-08 10"/>
        <s v="2016-11-08 09"/>
        <s v="2016-11-08 08"/>
        <s v="2016-11-08 07"/>
        <s v="2016-11-08 06"/>
        <s v="2016-11-08 05"/>
        <s v="2016-11-08 04"/>
        <s v="2016-11-08 03"/>
        <s v="2016-11-08 02"/>
        <s v="2016-11-08 01"/>
        <s v="2016-11-08 00"/>
        <s v="2016-11-07 23"/>
        <s v="2016-11-07 22"/>
        <s v="2016-11-07 21"/>
        <s v="2016-11-07 20"/>
        <s v="2016-11-07 19"/>
        <s v="2016-11-07 18"/>
        <s v="2016-11-07 17"/>
        <s v="2016-11-07 16"/>
        <s v="2016-11-07 15"/>
        <s v="2016-11-07 14"/>
        <s v="2016-11-07 13"/>
        <s v="2016-11-07 12"/>
        <s v="2016-11-07 11"/>
        <s v="2016-11-07 10"/>
        <s v="2016-11-07 09"/>
        <s v="2016-11-07 08"/>
        <s v="2016-11-07 07"/>
        <s v="2016-11-07 06"/>
        <s v="2016-11-07 05"/>
        <s v="2016-11-07 04"/>
        <s v="2016-11-07 03"/>
        <s v="2016-11-07 02"/>
        <s v="2016-11-07 01"/>
        <s v="2016-11-07 00"/>
      </sharedItems>
    </cacheField>
    <cacheField name="People saw 0 cars (unique)" numFmtId="0">
      <sharedItems containsSemiMixedTypes="0" containsString="0" containsNumber="1" containsInteger="1">
        <n v="2.0"/>
        <n v="7.0"/>
        <n v="14.0"/>
        <n v="5.0"/>
        <n v="8.0"/>
        <n v="13.0"/>
        <n v="9.0"/>
        <n v="10.0"/>
        <n v="16.0"/>
        <n v="4.0"/>
        <n v="3.0"/>
        <n v="28.0"/>
        <n v="19.0"/>
        <n v="18.0"/>
        <n v="29.0"/>
        <n v="11.0"/>
        <n v="21.0"/>
        <n v="12.0"/>
        <n v="6.0"/>
        <n v="70.0"/>
        <n v="33.0"/>
        <n v="17.0"/>
        <n v="48.0"/>
        <n v="47.0"/>
        <n v="71.0"/>
        <n v="32.0"/>
        <n v="27.0"/>
        <n v="15.0"/>
        <n v="1.0"/>
        <n v="40.0"/>
        <n v="0.0"/>
        <n v="45.0"/>
        <n v="59.0"/>
        <n v="42.0"/>
        <n v="23.0"/>
        <n v="22.0"/>
        <n v="35.0"/>
      </sharedItems>
    </cacheField>
    <cacheField name="People saw +1 cars (unique)" numFmtId="0">
      <sharedItems containsSemiMixedTypes="0" containsString="0" containsNumber="1" containsInteger="1">
        <n v="34.0"/>
        <n v="47.0"/>
        <n v="44.0"/>
        <n v="40.0"/>
        <n v="37.0"/>
        <n v="27.0"/>
        <n v="39.0"/>
        <n v="31.0"/>
        <n v="33.0"/>
        <n v="25.0"/>
        <n v="28.0"/>
        <n v="19.0"/>
        <n v="15.0"/>
        <n v="12.0"/>
        <n v="22.0"/>
        <n v="23.0"/>
        <n v="38.0"/>
        <n v="48.0"/>
        <n v="66.0"/>
        <n v="81.0"/>
        <n v="58.0"/>
        <n v="36.0"/>
        <n v="42.0"/>
        <n v="29.0"/>
        <n v="17.0"/>
        <n v="14.0"/>
        <n v="10.0"/>
        <n v="20.0"/>
        <n v="55.0"/>
        <n v="94.0"/>
        <n v="85.0"/>
        <n v="52.0"/>
        <n v="57.0"/>
        <n v="46.0"/>
        <n v="32.0"/>
        <n v="50.0"/>
        <n v="59.0"/>
        <n v="18.0"/>
        <n v="6.0"/>
        <n v="5.0"/>
        <n v="1.0"/>
        <n v="4.0"/>
        <n v="11.0"/>
        <n v="26.0"/>
        <n v="67.0"/>
        <n v="24.0"/>
        <n v="30.0"/>
        <n v="53.0"/>
        <n v="3.0"/>
        <n v="2.0"/>
        <n v="16.0"/>
        <n v="51.0"/>
        <n v="63.0"/>
        <n v="45.0"/>
        <n v="62.0"/>
        <n v="21.0"/>
        <n v="35.0"/>
        <n v="49.0"/>
        <n v="0.0"/>
        <n v="13.0"/>
      </sharedItems>
    </cacheField>
    <cacheField name="Coverage Ratio (unique)" numFmtId="0">
      <sharedItems containsSemiMixedTypes="0" containsString="0" containsNumber="1" containsInteger="1">
        <n v="94.0"/>
        <n v="87.0"/>
        <n v="76.0"/>
        <n v="89.0"/>
        <n v="84.0"/>
        <n v="85.0"/>
        <n v="68.0"/>
        <n v="81.0"/>
        <n v="82.0"/>
        <n v="69.0"/>
        <n v="70.0"/>
        <n v="71.0"/>
        <n v="54.0"/>
        <n v="59.0"/>
        <n v="79.0"/>
        <n v="80.0"/>
        <n v="45.0"/>
        <n v="67.0"/>
        <n v="74.0"/>
        <n v="91.0"/>
        <n v="77.0"/>
        <n v="66.0"/>
        <n v="52.0"/>
        <n v="51.0"/>
        <n v="78.0"/>
        <n v="83.0"/>
        <n v="55.0"/>
        <n v="90.0"/>
        <n v="57.0"/>
        <n v="72.0"/>
        <n v="75.0"/>
        <n v="58.0"/>
        <n v="64.0"/>
        <n v="62.0"/>
        <n v="63.0"/>
        <n v="73.0"/>
        <n v="65.0"/>
        <n v="60.0"/>
        <n v="20.0"/>
        <n v="92.0"/>
        <n v="88.0"/>
        <n v="56.0"/>
        <n v="50.0"/>
        <n v="100.0"/>
        <n v="95.0"/>
        <n v="93.0"/>
        <n v="39.0"/>
        <n v="53.0"/>
        <n v="18.0"/>
        <n v="43.0"/>
        <n v="86.0"/>
        <n v="44.0"/>
        <n v="96.0"/>
        <n v="97.0"/>
        <n v="36.0"/>
        <n v="0.0"/>
      </sharedItems>
    </cacheField>
    <cacheField name="Hours" numFmtId="0">
      <sharedItems>
        <s v="23"/>
        <s v="22"/>
        <s v="21"/>
        <s v="20"/>
        <s v="19"/>
        <s v="18"/>
        <s v="17"/>
        <s v="16"/>
        <s v="15"/>
        <s v="14"/>
        <s v="13"/>
        <s v="12"/>
        <s v="11"/>
        <s v="10"/>
        <s v="09"/>
        <s v="08"/>
        <s v="07"/>
        <s v="06"/>
        <s v="05"/>
        <s v="04"/>
        <s v="03"/>
        <s v="02"/>
        <s v="01"/>
        <s v="00"/>
      </sharedItems>
    </cacheField>
    <cacheField name="Weekdays" numFmtId="0">
      <sharedItems>
        <s v="2016-11-13"/>
        <s v="2016-11-12"/>
        <s v="2016-11-11"/>
        <s v="2016-11-10"/>
        <s v="2016-11-09"/>
        <s v="2016-11-08"/>
        <s v="2016-11-07"/>
      </sharedItems>
    </cacheField>
    <cacheField name="Total number of unique searches" formula="'People saw 0 cars (unique)' + 'People saw +1 cars (unique)'"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69" sheet="Searches_raw"/>
  </cacheSource>
  <cacheFields>
    <cacheField name="Date" numFmtId="0">
      <sharedItems>
        <s v="2016-11-13 23"/>
        <s v="2016-11-13 22"/>
        <s v="2016-11-13 21"/>
        <s v="2016-11-13 20"/>
        <s v="2016-11-13 19"/>
        <s v="2016-11-13 18"/>
        <s v="2016-11-13 17"/>
        <s v="2016-11-13 16"/>
        <s v="2016-11-13 15"/>
        <s v="2016-11-13 14"/>
        <s v="2016-11-13 13"/>
        <s v="2016-11-13 12"/>
        <s v="2016-11-13 11"/>
        <s v="2016-11-13 10"/>
        <s v="2016-11-13 09"/>
        <s v="2016-11-13 08"/>
        <s v="2016-11-13 07"/>
        <s v="2016-11-13 06"/>
        <s v="2016-11-13 05"/>
        <s v="2016-11-13 04"/>
        <s v="2016-11-13 03"/>
        <s v="2016-11-13 02"/>
        <s v="2016-11-13 01"/>
        <s v="2016-11-13 00"/>
        <s v="2016-11-12 23"/>
        <s v="2016-11-12 22"/>
        <s v="2016-11-12 21"/>
        <s v="2016-11-12 20"/>
        <s v="2016-11-12 19"/>
        <s v="2016-11-12 18"/>
        <s v="2016-11-12 17"/>
        <s v="2016-11-12 16"/>
        <s v="2016-11-12 15"/>
        <s v="2016-11-12 14"/>
        <s v="2016-11-12 13"/>
        <s v="2016-11-12 12"/>
        <s v="2016-11-12 11"/>
        <s v="2016-11-12 10"/>
        <s v="2016-11-12 09"/>
        <s v="2016-11-12 08"/>
        <s v="2016-11-12 07"/>
        <s v="2016-11-12 06"/>
        <s v="2016-11-12 05"/>
        <s v="2016-11-12 04"/>
        <s v="2016-11-12 03"/>
        <s v="2016-11-12 02"/>
        <s v="2016-11-12 01"/>
        <s v="2016-11-12 00"/>
        <s v="2016-11-11 23"/>
        <s v="2016-11-11 22"/>
        <s v="2016-11-11 21"/>
        <s v="2016-11-11 20"/>
        <s v="2016-11-11 19"/>
        <s v="2016-11-11 18"/>
        <s v="2016-11-11 17"/>
        <s v="2016-11-11 16"/>
        <s v="2016-11-11 15"/>
        <s v="2016-11-11 14"/>
        <s v="2016-11-11 13"/>
        <s v="2016-11-11 12"/>
        <s v="2016-11-11 11"/>
        <s v="2016-11-11 10"/>
        <s v="2016-11-11 09"/>
        <s v="2016-11-11 08"/>
        <s v="2016-11-11 07"/>
        <s v="2016-11-11 06"/>
        <s v="2016-11-11 05"/>
        <s v="2016-11-11 04"/>
        <s v="2016-11-11 03"/>
        <s v="2016-11-11 02"/>
        <s v="2016-11-11 01"/>
        <s v="2016-11-11 00"/>
        <s v="2016-11-10 23"/>
        <s v="2016-11-10 22"/>
        <s v="2016-11-10 21"/>
        <s v="2016-11-10 20"/>
        <s v="2016-11-10 19"/>
        <s v="2016-11-10 18"/>
        <s v="2016-11-10 17"/>
        <s v="2016-11-10 16"/>
        <s v="2016-11-10 15"/>
        <s v="2016-11-10 14"/>
        <s v="2016-11-10 13"/>
        <s v="2016-11-10 12"/>
        <s v="2016-11-10 11"/>
        <s v="2016-11-10 10"/>
        <s v="2016-11-10 09"/>
        <s v="2016-11-10 08"/>
        <s v="2016-11-10 07"/>
        <s v="2016-11-10 06"/>
        <s v="2016-11-10 05"/>
        <s v="2016-11-10 04"/>
        <s v="2016-11-10 03"/>
        <s v="2016-11-10 02"/>
        <s v="2016-11-10 01"/>
        <s v="2016-11-10 00"/>
        <s v="2016-11-09 23"/>
        <s v="2016-11-09 22"/>
        <s v="2016-11-09 21"/>
        <s v="2016-11-09 20"/>
        <s v="2016-11-09 19"/>
        <s v="2016-11-09 18"/>
        <s v="2016-11-09 17"/>
        <s v="2016-11-09 16"/>
        <s v="2016-11-09 15"/>
        <s v="2016-11-09 14"/>
        <s v="2016-11-09 13"/>
        <s v="2016-11-09 12"/>
        <s v="2016-11-09 11"/>
        <s v="2016-11-09 10"/>
        <s v="2016-11-09 09"/>
        <s v="2016-11-09 08"/>
        <s v="2016-11-09 07"/>
        <s v="2016-11-09 06"/>
        <s v="2016-11-09 05"/>
        <s v="2016-11-09 04"/>
        <s v="2016-11-09 03"/>
        <s v="2016-11-09 02"/>
        <s v="2016-11-09 01"/>
        <s v="2016-11-09 00"/>
        <s v="2016-11-08 23"/>
        <s v="2016-11-08 22"/>
        <s v="2016-11-08 21"/>
        <s v="2016-11-08 20"/>
        <s v="2016-11-08 19"/>
        <s v="2016-11-08 18"/>
        <s v="2016-11-08 17"/>
        <s v="2016-11-08 16"/>
        <s v="2016-11-08 15"/>
        <s v="2016-11-08 14"/>
        <s v="2016-11-08 13"/>
        <s v="2016-11-08 12"/>
        <s v="2016-11-08 11"/>
        <s v="2016-11-08 10"/>
        <s v="2016-11-08 09"/>
        <s v="2016-11-08 08"/>
        <s v="2016-11-08 07"/>
        <s v="2016-11-08 06"/>
        <s v="2016-11-08 05"/>
        <s v="2016-11-08 04"/>
        <s v="2016-11-08 03"/>
        <s v="2016-11-08 02"/>
        <s v="2016-11-08 01"/>
        <s v="2016-11-08 00"/>
        <s v="2016-11-07 23"/>
        <s v="2016-11-07 22"/>
        <s v="2016-11-07 21"/>
        <s v="2016-11-07 20"/>
        <s v="2016-11-07 19"/>
        <s v="2016-11-07 18"/>
        <s v="2016-11-07 17"/>
        <s v="2016-11-07 16"/>
        <s v="2016-11-07 15"/>
        <s v="2016-11-07 14"/>
        <s v="2016-11-07 13"/>
        <s v="2016-11-07 12"/>
        <s v="2016-11-07 11"/>
        <s v="2016-11-07 10"/>
        <s v="2016-11-07 09"/>
        <s v="2016-11-07 08"/>
        <s v="2016-11-07 07"/>
        <s v="2016-11-07 06"/>
        <s v="2016-11-07 05"/>
        <s v="2016-11-07 04"/>
        <s v="2016-11-07 03"/>
        <s v="2016-11-07 02"/>
        <s v="2016-11-07 01"/>
        <s v="2016-11-07 00"/>
      </sharedItems>
    </cacheField>
    <cacheField name="People saw 0 cars (unique)" numFmtId="0">
      <sharedItems containsSemiMixedTypes="0" containsString="0" containsNumber="1" containsInteger="1">
        <n v="2.0"/>
        <n v="7.0"/>
        <n v="14.0"/>
        <n v="5.0"/>
        <n v="8.0"/>
        <n v="13.0"/>
        <n v="9.0"/>
        <n v="10.0"/>
        <n v="16.0"/>
        <n v="4.0"/>
        <n v="3.0"/>
        <n v="28.0"/>
        <n v="19.0"/>
        <n v="18.0"/>
        <n v="29.0"/>
        <n v="11.0"/>
        <n v="21.0"/>
        <n v="12.0"/>
        <n v="6.0"/>
        <n v="70.0"/>
        <n v="33.0"/>
        <n v="17.0"/>
        <n v="48.0"/>
        <n v="47.0"/>
        <n v="71.0"/>
        <n v="32.0"/>
        <n v="27.0"/>
        <n v="15.0"/>
        <n v="1.0"/>
        <n v="40.0"/>
        <n v="0.0"/>
        <n v="45.0"/>
        <n v="59.0"/>
        <n v="42.0"/>
        <n v="23.0"/>
        <n v="22.0"/>
        <n v="35.0"/>
      </sharedItems>
    </cacheField>
    <cacheField name="People saw +1 cars (unique)" numFmtId="0">
      <sharedItems containsSemiMixedTypes="0" containsString="0" containsNumber="1" containsInteger="1">
        <n v="34.0"/>
        <n v="47.0"/>
        <n v="44.0"/>
        <n v="40.0"/>
        <n v="37.0"/>
        <n v="27.0"/>
        <n v="39.0"/>
        <n v="31.0"/>
        <n v="33.0"/>
        <n v="25.0"/>
        <n v="28.0"/>
        <n v="19.0"/>
        <n v="15.0"/>
        <n v="12.0"/>
        <n v="22.0"/>
        <n v="23.0"/>
        <n v="38.0"/>
        <n v="48.0"/>
        <n v="66.0"/>
        <n v="81.0"/>
        <n v="58.0"/>
        <n v="36.0"/>
        <n v="42.0"/>
        <n v="29.0"/>
        <n v="17.0"/>
        <n v="14.0"/>
        <n v="10.0"/>
        <n v="20.0"/>
        <n v="55.0"/>
        <n v="94.0"/>
        <n v="85.0"/>
        <n v="52.0"/>
        <n v="57.0"/>
        <n v="46.0"/>
        <n v="32.0"/>
        <n v="50.0"/>
        <n v="59.0"/>
        <n v="18.0"/>
        <n v="6.0"/>
        <n v="5.0"/>
        <n v="1.0"/>
        <n v="4.0"/>
        <n v="11.0"/>
        <n v="26.0"/>
        <n v="67.0"/>
        <n v="24.0"/>
        <n v="30.0"/>
        <n v="53.0"/>
        <n v="3.0"/>
        <n v="2.0"/>
        <n v="16.0"/>
        <n v="51.0"/>
        <n v="63.0"/>
        <n v="45.0"/>
        <n v="62.0"/>
        <n v="21.0"/>
        <n v="35.0"/>
        <n v="49.0"/>
        <n v="0.0"/>
        <n v="13.0"/>
      </sharedItems>
    </cacheField>
    <cacheField name="Coverage Ratio (unique)" numFmtId="0">
      <sharedItems containsSemiMixedTypes="0" containsString="0" containsNumber="1" containsInteger="1">
        <n v="94.0"/>
        <n v="87.0"/>
        <n v="76.0"/>
        <n v="89.0"/>
        <n v="84.0"/>
        <n v="85.0"/>
        <n v="68.0"/>
        <n v="81.0"/>
        <n v="82.0"/>
        <n v="69.0"/>
        <n v="70.0"/>
        <n v="71.0"/>
        <n v="54.0"/>
        <n v="59.0"/>
        <n v="79.0"/>
        <n v="80.0"/>
        <n v="45.0"/>
        <n v="67.0"/>
        <n v="74.0"/>
        <n v="91.0"/>
        <n v="77.0"/>
        <n v="66.0"/>
        <n v="52.0"/>
        <n v="51.0"/>
        <n v="78.0"/>
        <n v="83.0"/>
        <n v="55.0"/>
        <n v="90.0"/>
        <n v="57.0"/>
        <n v="72.0"/>
        <n v="75.0"/>
        <n v="58.0"/>
        <n v="64.0"/>
        <n v="62.0"/>
        <n v="63.0"/>
        <n v="73.0"/>
        <n v="65.0"/>
        <n v="60.0"/>
        <n v="20.0"/>
        <n v="92.0"/>
        <n v="88.0"/>
        <n v="56.0"/>
        <n v="50.0"/>
        <n v="100.0"/>
        <n v="95.0"/>
        <n v="93.0"/>
        <n v="39.0"/>
        <n v="53.0"/>
        <n v="18.0"/>
        <n v="43.0"/>
        <n v="86.0"/>
        <n v="44.0"/>
        <n v="96.0"/>
        <n v="97.0"/>
        <n v="36.0"/>
        <n v="0.0"/>
      </sharedItems>
    </cacheField>
    <cacheField name="Hours" numFmtId="0">
      <sharedItems>
        <s v="23"/>
        <s v="22"/>
        <s v="21"/>
        <s v="20"/>
        <s v="19"/>
        <s v="18"/>
        <s v="17"/>
        <s v="16"/>
        <s v="15"/>
        <s v="14"/>
        <s v="13"/>
        <s v="12"/>
        <s v="11"/>
        <s v="10"/>
        <s v="09"/>
        <s v="08"/>
        <s v="07"/>
        <s v="06"/>
        <s v="05"/>
        <s v="04"/>
        <s v="03"/>
        <s v="02"/>
        <s v="01"/>
        <s v="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F169" sheet="Searches_raw"/>
  </cacheSource>
  <cacheFields>
    <cacheField name="People saw 0 cars (unique)" numFmtId="0">
      <sharedItems containsSemiMixedTypes="0" containsString="0" containsNumber="1" containsInteger="1">
        <n v="2.0"/>
        <n v="7.0"/>
        <n v="14.0"/>
        <n v="5.0"/>
        <n v="8.0"/>
        <n v="13.0"/>
        <n v="9.0"/>
        <n v="10.0"/>
        <n v="16.0"/>
        <n v="4.0"/>
        <n v="3.0"/>
        <n v="28.0"/>
        <n v="19.0"/>
        <n v="18.0"/>
        <n v="29.0"/>
        <n v="11.0"/>
        <n v="21.0"/>
        <n v="12.0"/>
        <n v="6.0"/>
        <n v="70.0"/>
        <n v="33.0"/>
        <n v="17.0"/>
        <n v="48.0"/>
        <n v="47.0"/>
        <n v="71.0"/>
        <n v="32.0"/>
        <n v="27.0"/>
        <n v="15.0"/>
        <n v="1.0"/>
        <n v="40.0"/>
        <n v="0.0"/>
        <n v="45.0"/>
        <n v="59.0"/>
        <n v="42.0"/>
        <n v="23.0"/>
        <n v="22.0"/>
        <n v="35.0"/>
      </sharedItems>
    </cacheField>
    <cacheField name="People saw +1 cars (unique)" numFmtId="0">
      <sharedItems containsSemiMixedTypes="0" containsString="0" containsNumber="1" containsInteger="1">
        <n v="34.0"/>
        <n v="47.0"/>
        <n v="44.0"/>
        <n v="40.0"/>
        <n v="37.0"/>
        <n v="27.0"/>
        <n v="39.0"/>
        <n v="31.0"/>
        <n v="33.0"/>
        <n v="25.0"/>
        <n v="28.0"/>
        <n v="19.0"/>
        <n v="15.0"/>
        <n v="12.0"/>
        <n v="22.0"/>
        <n v="23.0"/>
        <n v="38.0"/>
        <n v="48.0"/>
        <n v="66.0"/>
        <n v="81.0"/>
        <n v="58.0"/>
        <n v="36.0"/>
        <n v="42.0"/>
        <n v="29.0"/>
        <n v="17.0"/>
        <n v="14.0"/>
        <n v="10.0"/>
        <n v="20.0"/>
        <n v="55.0"/>
        <n v="94.0"/>
        <n v="85.0"/>
        <n v="52.0"/>
        <n v="57.0"/>
        <n v="46.0"/>
        <n v="32.0"/>
        <n v="50.0"/>
        <n v="59.0"/>
        <n v="18.0"/>
        <n v="6.0"/>
        <n v="5.0"/>
        <n v="1.0"/>
        <n v="4.0"/>
        <n v="11.0"/>
        <n v="26.0"/>
        <n v="67.0"/>
        <n v="24.0"/>
        <n v="30.0"/>
        <n v="53.0"/>
        <n v="3.0"/>
        <n v="2.0"/>
        <n v="16.0"/>
        <n v="51.0"/>
        <n v="63.0"/>
        <n v="45.0"/>
        <n v="62.0"/>
        <n v="21.0"/>
        <n v="35.0"/>
        <n v="49.0"/>
        <n v="0.0"/>
        <n v="13.0"/>
      </sharedItems>
    </cacheField>
    <cacheField name="Coverage Ratio (unique)" numFmtId="0">
      <sharedItems containsSemiMixedTypes="0" containsString="0" containsNumber="1" containsInteger="1">
        <n v="94.0"/>
        <n v="87.0"/>
        <n v="76.0"/>
        <n v="89.0"/>
        <n v="84.0"/>
        <n v="85.0"/>
        <n v="68.0"/>
        <n v="81.0"/>
        <n v="82.0"/>
        <n v="69.0"/>
        <n v="70.0"/>
        <n v="71.0"/>
        <n v="54.0"/>
        <n v="59.0"/>
        <n v="79.0"/>
        <n v="80.0"/>
        <n v="45.0"/>
        <n v="67.0"/>
        <n v="74.0"/>
        <n v="91.0"/>
        <n v="77.0"/>
        <n v="66.0"/>
        <n v="52.0"/>
        <n v="51.0"/>
        <n v="78.0"/>
        <n v="83.0"/>
        <n v="55.0"/>
        <n v="90.0"/>
        <n v="57.0"/>
        <n v="72.0"/>
        <n v="75.0"/>
        <n v="58.0"/>
        <n v="64.0"/>
        <n v="62.0"/>
        <n v="63.0"/>
        <n v="73.0"/>
        <n v="65.0"/>
        <n v="60.0"/>
        <n v="20.0"/>
        <n v="92.0"/>
        <n v="88.0"/>
        <n v="56.0"/>
        <n v="50.0"/>
        <n v="100.0"/>
        <n v="95.0"/>
        <n v="93.0"/>
        <n v="39.0"/>
        <n v="53.0"/>
        <n v="18.0"/>
        <n v="43.0"/>
        <n v="86.0"/>
        <n v="44.0"/>
        <n v="96.0"/>
        <n v="97.0"/>
        <n v="36.0"/>
        <n v="0.0"/>
      </sharedItems>
    </cacheField>
    <cacheField name="Hours" numFmtId="0">
      <sharedItems>
        <s v="23"/>
        <s v="22"/>
        <s v="21"/>
        <s v="20"/>
        <s v="19"/>
        <s v="18"/>
        <s v="17"/>
        <s v="16"/>
        <s v="15"/>
        <s v="14"/>
        <s v="13"/>
        <s v="12"/>
        <s v="11"/>
        <s v="10"/>
        <s v="09"/>
        <s v="08"/>
        <s v="07"/>
        <s v="06"/>
        <s v="05"/>
        <s v="04"/>
        <s v="03"/>
        <s v="02"/>
        <s v="01"/>
        <s v="00"/>
      </sharedItems>
    </cacheField>
    <cacheField name="Weekdays" numFmtId="0">
      <sharedItems>
        <s v="2016-11-13"/>
        <s v="2016-11-12"/>
        <s v="2016-11-11"/>
        <s v="2016-11-10"/>
        <s v="2016-11-09"/>
        <s v="2016-11-08"/>
        <s v="2016-11-07"/>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69" sheet="Activity_raw"/>
  </cacheSource>
  <cacheFields>
    <cacheField name="Date" numFmtId="0">
      <sharedItems>
        <s v="2016-11-13 23"/>
        <s v="2016-11-13 22"/>
        <s v="2016-11-13 21"/>
        <s v="2016-11-13 20"/>
        <s v="2016-11-13 19"/>
        <s v="2016-11-13 18"/>
        <s v="2016-11-13 17"/>
        <s v="2016-11-13 16"/>
        <s v="2016-11-13 15"/>
        <s v="2016-11-13 14"/>
        <s v="2016-11-13 13"/>
        <s v="2016-11-13 12"/>
        <s v="2016-11-13 11"/>
        <s v="2016-11-13 10"/>
        <s v="2016-11-13 09"/>
        <s v="2016-11-13 08"/>
        <s v="2016-11-13 07"/>
        <s v="2016-11-13 06"/>
        <s v="2016-11-13 05"/>
        <s v="2016-11-13 04"/>
        <s v="2016-11-13 03"/>
        <s v="2016-11-13 02"/>
        <s v="2016-11-13 01"/>
        <s v="2016-11-13 00"/>
        <s v="2016-11-12 23"/>
        <s v="2016-11-12 22"/>
        <s v="2016-11-12 21"/>
        <s v="2016-11-12 20"/>
        <s v="2016-11-12 19"/>
        <s v="2016-11-12 18"/>
        <s v="2016-11-12 17"/>
        <s v="2016-11-12 16"/>
        <s v="2016-11-12 15"/>
        <s v="2016-11-12 14"/>
        <s v="2016-11-12 13"/>
        <s v="2016-11-12 12"/>
        <s v="2016-11-12 11"/>
        <s v="2016-11-12 10"/>
        <s v="2016-11-12 09"/>
        <s v="2016-11-12 08"/>
        <s v="2016-11-12 07"/>
        <s v="2016-11-12 06"/>
        <s v="2016-11-12 05"/>
        <s v="2016-11-12 04"/>
        <s v="2016-11-12 03"/>
        <s v="2016-11-12 02"/>
        <s v="2016-11-12 01"/>
        <s v="2016-11-12 00"/>
        <s v="2016-11-11 23"/>
        <s v="2016-11-11 22"/>
        <s v="2016-11-11 21"/>
        <s v="2016-11-11 20"/>
        <s v="2016-11-11 19"/>
        <s v="2016-11-11 18"/>
        <s v="2016-11-11 17"/>
        <s v="2016-11-11 16"/>
        <s v="2016-11-11 15"/>
        <s v="2016-11-11 14"/>
        <s v="2016-11-11 13"/>
        <s v="2016-11-11 12"/>
        <s v="2016-11-11 11"/>
        <s v="2016-11-11 10"/>
        <s v="2016-11-11 09"/>
        <s v="2016-11-11 08"/>
        <s v="2016-11-11 07"/>
        <s v="2016-11-11 06"/>
        <s v="2016-11-11 05"/>
        <s v="2016-11-11 04"/>
        <s v="2016-11-11 03"/>
        <s v="2016-11-11 02"/>
        <s v="2016-11-11 01"/>
        <s v="2016-11-11 00"/>
        <s v="2016-11-10 23"/>
        <s v="2016-11-10 22"/>
        <s v="2016-11-10 21"/>
        <s v="2016-11-10 20"/>
        <s v="2016-11-10 19"/>
        <s v="2016-11-10 18"/>
        <s v="2016-11-10 17"/>
        <s v="2016-11-10 16"/>
        <s v="2016-11-10 15"/>
        <s v="2016-11-10 14"/>
        <s v="2016-11-10 13"/>
        <s v="2016-11-10 12"/>
        <s v="2016-11-10 11"/>
        <s v="2016-11-10 10"/>
        <s v="2016-11-10 09"/>
        <s v="2016-11-10 08"/>
        <s v="2016-11-10 07"/>
        <s v="2016-11-10 06"/>
        <s v="2016-11-10 05"/>
        <s v="2016-11-10 04"/>
        <s v="2016-11-10 03"/>
        <s v="2016-11-10 02"/>
        <s v="2016-11-10 01"/>
        <s v="2016-11-10 00"/>
        <s v="2016-11-09 23"/>
        <s v="2016-11-09 22"/>
        <s v="2016-11-09 21"/>
        <s v="2016-11-09 20"/>
        <s v="2016-11-09 19"/>
        <s v="2016-11-09 18"/>
        <s v="2016-11-09 17"/>
        <s v="2016-11-09 16"/>
        <s v="2016-11-09 15"/>
        <s v="2016-11-09 14"/>
        <s v="2016-11-09 13"/>
        <s v="2016-11-09 12"/>
        <s v="2016-11-09 11"/>
        <s v="2016-11-09 10"/>
        <s v="2016-11-09 09"/>
        <s v="2016-11-09 08"/>
        <s v="2016-11-09 07"/>
        <s v="2016-11-09 06"/>
        <s v="2016-11-09 05"/>
        <s v="2016-11-09 04"/>
        <s v="2016-11-09 03"/>
        <s v="2016-11-09 02"/>
        <s v="2016-11-09 01"/>
        <s v="2016-11-09 00"/>
        <s v="2016-11-08 23"/>
        <s v="2016-11-08 22"/>
        <s v="2016-11-08 21"/>
        <s v="2016-11-08 20"/>
        <s v="2016-11-08 19"/>
        <s v="2016-11-08 18"/>
        <s v="2016-11-08 17"/>
        <s v="2016-11-08 16"/>
        <s v="2016-11-08 15"/>
        <s v="2016-11-08 14"/>
        <s v="2016-11-08 13"/>
        <s v="2016-11-08 12"/>
        <s v="2016-11-08 11"/>
        <s v="2016-11-08 10"/>
        <s v="2016-11-08 09"/>
        <s v="2016-11-08 08"/>
        <s v="2016-11-08 07"/>
        <s v="2016-11-08 06"/>
        <s v="2016-11-08 05"/>
        <s v="2016-11-08 04"/>
        <s v="2016-11-08 03"/>
        <s v="2016-11-08 02"/>
        <s v="2016-11-08 01"/>
        <s v="2016-11-08 00"/>
        <s v="2016-11-07 23"/>
        <s v="2016-11-07 22"/>
        <s v="2016-11-07 21"/>
        <s v="2016-11-07 20"/>
        <s v="2016-11-07 19"/>
        <s v="2016-11-07 18"/>
        <s v="2016-11-07 17"/>
        <s v="2016-11-07 16"/>
        <s v="2016-11-07 15"/>
        <s v="2016-11-07 14"/>
        <s v="2016-11-07 13"/>
        <s v="2016-11-07 12"/>
        <s v="2016-11-07 11"/>
        <s v="2016-11-07 10"/>
        <s v="2016-11-07 09"/>
        <s v="2016-11-07 08"/>
        <s v="2016-11-07 07"/>
        <s v="2016-11-07 06"/>
        <s v="2016-11-07 05"/>
        <s v="2016-11-07 04"/>
        <s v="2016-11-07 03"/>
        <s v="2016-11-07 02"/>
        <s v="2016-11-07 01"/>
        <s v="2016-11-07 00"/>
      </sharedItems>
    </cacheField>
    <cacheField name="Active drivers" numFmtId="0">
      <sharedItems containsSemiMixedTypes="0" containsString="0" containsNumber="1" containsInteger="1">
        <n v="45.0"/>
        <n v="58.0"/>
        <n v="72.0"/>
        <n v="74.0"/>
        <n v="64.0"/>
        <n v="60.0"/>
        <n v="61.0"/>
        <n v="54.0"/>
        <n v="48.0"/>
        <n v="39.0"/>
        <n v="36.0"/>
        <n v="33.0"/>
        <n v="38.0"/>
        <n v="28.0"/>
        <n v="37.0"/>
        <n v="32.0"/>
        <n v="42.0"/>
        <n v="47.0"/>
        <n v="67.0"/>
        <n v="68.0"/>
        <n v="73.0"/>
        <n v="76.0"/>
        <n v="63.0"/>
        <n v="71.0"/>
        <n v="57.0"/>
        <n v="46.0"/>
        <n v="40.0"/>
        <n v="29.0"/>
        <n v="25.0"/>
        <n v="22.0"/>
        <n v="26.0"/>
        <n v="31.0"/>
        <n v="62.0"/>
        <n v="66.0"/>
        <n v="70.0"/>
        <n v="53.0"/>
        <n v="69.0"/>
        <n v="65.0"/>
        <n v="49.0"/>
        <n v="18.0"/>
        <n v="21.0"/>
        <n v="30.0"/>
        <n v="44.0"/>
        <n v="93.0"/>
        <n v="99.0"/>
        <n v="103.0"/>
        <n v="90.0"/>
        <n v="79.0"/>
        <n v="81.0"/>
        <n v="87.0"/>
        <n v="78.0"/>
        <n v="75.0"/>
        <n v="41.0"/>
        <n v="86.0"/>
        <n v="94.0"/>
        <n v="85.0"/>
        <n v="95.0"/>
        <n v="55.0"/>
        <n v="24.0"/>
        <n v="14.0"/>
        <n v="17.0"/>
        <n v="83.0"/>
        <n v="77.0"/>
        <n v="82.0"/>
        <n v="84.0"/>
        <n v="34.0"/>
        <n v="27.0"/>
        <n v="56.0"/>
        <n v="59.0"/>
        <n v="50.0"/>
        <n v="23.0"/>
        <n v="16.0"/>
        <n v="19.0"/>
      </sharedItems>
    </cacheField>
    <cacheField name="Online (h)" numFmtId="0">
      <sharedItems containsSemiMixedTypes="0" containsString="0" containsNumber="1" containsInteger="1">
        <n v="22.0"/>
        <n v="23.0"/>
        <n v="24.0"/>
        <n v="30.0"/>
        <n v="26.0"/>
        <n v="25.0"/>
        <n v="21.0"/>
        <n v="19.0"/>
        <n v="14.0"/>
        <n v="16.0"/>
        <n v="18.0"/>
        <n v="15.0"/>
        <n v="11.0"/>
        <n v="12.0"/>
        <n v="13.0"/>
        <n v="10.0"/>
        <n v="20.0"/>
        <n v="29.0"/>
        <n v="28.0"/>
        <n v="27.0"/>
        <n v="7.0"/>
        <n v="32.0"/>
        <n v="8.0"/>
        <n v="9.0"/>
        <n v="31.0"/>
        <n v="34.0"/>
        <n v="45.0"/>
        <n v="40.0"/>
        <n v="35.0"/>
        <n v="33.0"/>
        <n v="36.0"/>
        <n v="41.0"/>
        <n v="37.0"/>
        <n v="6.0"/>
        <n v="4.0"/>
        <n v="5.0"/>
        <n v="42.0"/>
        <n v="17.0"/>
        <n v="38.0"/>
      </sharedItems>
    </cacheField>
    <cacheField name="Has booking (h)" numFmtId="0">
      <sharedItems containsSemiMixedTypes="0" containsString="0" containsNumber="1" containsInteger="1">
        <n v="3.0"/>
        <n v="5.0"/>
        <n v="6.0"/>
        <n v="4.0"/>
        <n v="2.0"/>
        <n v="1.0"/>
        <n v="7.0"/>
        <n v="8.0"/>
        <n v="12.0"/>
        <n v="14.0"/>
        <n v="11.0"/>
        <n v="20.0"/>
        <n v="17.0"/>
        <n v="18.0"/>
        <n v="19.0"/>
        <n v="13.0"/>
        <n v="10.0"/>
        <n v="0.0"/>
        <n v="15.0"/>
      </sharedItems>
    </cacheField>
    <cacheField name="Waiting for booking (h)" numFmtId="0">
      <sharedItems containsSemiMixedTypes="0" containsString="0" containsNumber="1" containsInteger="1">
        <n v="19.0"/>
        <n v="18.0"/>
        <n v="25.0"/>
        <n v="22.0"/>
        <n v="15.0"/>
        <n v="20.0"/>
        <n v="14.0"/>
        <n v="11.0"/>
        <n v="10.0"/>
        <n v="9.0"/>
        <n v="6.0"/>
        <n v="17.0"/>
        <n v="12.0"/>
        <n v="26.0"/>
        <n v="23.0"/>
        <n v="16.0"/>
        <n v="13.0"/>
        <n v="5.0"/>
        <n v="8.0"/>
        <n v="7.0"/>
        <n v="31.0"/>
        <n v="37.0"/>
        <n v="32.0"/>
        <n v="24.0"/>
        <n v="29.0"/>
        <n v="27.0"/>
        <n v="30.0"/>
        <n v="34.0"/>
        <n v="4.0"/>
        <n v="21.0"/>
        <n v="35.0"/>
        <n v="28.0"/>
      </sharedItems>
    </cacheField>
    <cacheField name="Busy (h)" numFmtId="0">
      <sharedItems containsSemiMixedTypes="0" containsString="0" containsNumber="1" containsInteger="1">
        <n v="13.0"/>
        <n v="18.0"/>
        <n v="20.0"/>
        <n v="17.0"/>
        <n v="14.0"/>
        <n v="15.0"/>
        <n v="10.0"/>
        <n v="12.0"/>
        <n v="8.0"/>
        <n v="7.0"/>
        <n v="11.0"/>
        <n v="16.0"/>
        <n v="21.0"/>
        <n v="24.0"/>
        <n v="19.0"/>
        <n v="5.0"/>
        <n v="4.0"/>
        <n v="6.0"/>
        <n v="9.0"/>
        <n v="23.0"/>
        <n v="29.0"/>
        <n v="25.0"/>
        <n v="22.0"/>
        <n v="3.0"/>
      </sharedItems>
    </cacheField>
    <cacheField name="Hours per active driver" numFmtId="0">
      <sharedItems containsSemiMixedTypes="0" containsString="0" containsNumber="1">
        <n v="0.5"/>
        <n v="0.4"/>
        <n v="0.3"/>
        <n v="0.6"/>
      </sharedItems>
    </cacheField>
    <cacheField name="Rides per online hour" numFmtId="0">
      <sharedItems containsSemiMixedTypes="0" containsString="0" containsNumber="1">
        <n v="0.45"/>
        <n v="0.52"/>
        <n v="0.71"/>
        <n v="0.47"/>
        <n v="0.46"/>
        <n v="0.44"/>
        <n v="0.76"/>
        <n v="0.5"/>
        <n v="0.37"/>
        <n v="0.79"/>
        <n v="0.69"/>
        <n v="0.39"/>
        <n v="0.33"/>
        <n v="0.42"/>
        <n v="0.3"/>
        <n v="0.27"/>
        <n v="0.54"/>
        <n v="1.0"/>
        <n v="1.27"/>
        <n v="1.25"/>
        <n v="0.56"/>
        <n v="1.33"/>
        <n v="1.48"/>
        <n v="0.73"/>
        <n v="0.4"/>
        <n v="0.7"/>
        <n v="0.35"/>
        <n v="0.61"/>
        <n v="0.25"/>
        <n v="0.57"/>
        <n v="0.77"/>
        <n v="0.43"/>
        <n v="1.74"/>
        <n v="0.72"/>
        <n v="1.24"/>
        <n v="1.07"/>
        <n v="0.9"/>
        <n v="0.92"/>
        <n v="0.58"/>
        <n v="0.24"/>
        <n v="1.17"/>
        <n v="1.2"/>
        <n v="0.13"/>
        <n v="0.2"/>
        <n v="0.0"/>
        <n v="0.38"/>
        <n v="0.68"/>
        <n v="0.29"/>
        <n v="0.63"/>
        <n v="0.21"/>
        <n v="0.26"/>
        <n v="0.19"/>
        <n v="0.32"/>
        <n v="0.08"/>
        <n v="0.09"/>
        <n v="0.48"/>
        <n v="0.51"/>
        <n v="0.94"/>
        <n v="0.15"/>
        <n v="0.14"/>
        <n v="0.17"/>
        <n v="0.36"/>
        <n v="1.06"/>
        <n v="0.65"/>
        <n v="0.87"/>
        <n v="0.82"/>
        <n v="0.22"/>
        <n v="0.06"/>
        <n v="0.23"/>
        <n v="0.74"/>
        <n v="0.1"/>
        <n v="0.07"/>
        <n v="0.41"/>
        <n v="0.31"/>
      </sharedItems>
    </cacheField>
    <cacheField name="Finished Rides" numFmtId="0">
      <sharedItems containsSemiMixedTypes="0" containsString="0" containsNumber="1" containsInteger="1">
        <n v="10.0"/>
        <n v="12.0"/>
        <n v="17.0"/>
        <n v="14.0"/>
        <n v="11.0"/>
        <n v="16.0"/>
        <n v="7.0"/>
        <n v="5.0"/>
        <n v="6.0"/>
        <n v="3.0"/>
        <n v="19.0"/>
        <n v="25.0"/>
        <n v="32.0"/>
        <n v="43.0"/>
        <n v="22.0"/>
        <n v="8.0"/>
        <n v="4.0"/>
        <n v="47.0"/>
        <n v="40.0"/>
        <n v="18.0"/>
        <n v="21.0"/>
        <n v="31.0"/>
        <n v="36.0"/>
        <n v="29.0"/>
        <n v="26.0"/>
        <n v="23.0"/>
        <n v="9.0"/>
        <n v="13.0"/>
        <n v="28.0"/>
        <n v="24.0"/>
        <n v="1.0"/>
        <n v="2.0"/>
        <n v="0.0"/>
        <n v="15.0"/>
        <n v="27.0"/>
      </sharedItems>
    </cacheField>
    <cacheField name="Utilization" numFmtId="10">
      <sharedItems containsSemiMixedTypes="0" containsString="0" containsNumber="1">
        <n v="0.13636363636363635"/>
        <n v="0.21739130434782608"/>
        <n v="0.25"/>
        <n v="0.16666666666666666"/>
        <n v="0.15384615384615385"/>
        <n v="0.24"/>
        <n v="0.23809523809523808"/>
        <n v="0.2631578947368421"/>
        <n v="0.2857142857142857"/>
        <n v="0.375"/>
        <n v="0.13333333333333333"/>
        <n v="0.18181818181818182"/>
        <n v="0.08333333333333333"/>
        <n v="0.1"/>
        <n v="0.3076923076923077"/>
        <n v="0.4"/>
        <n v="0.35"/>
        <n v="0.32"/>
        <n v="0.5"/>
        <n v="0.4827586206896552"/>
        <n v="0.26666666666666666"/>
        <n v="0.17857142857142858"/>
        <n v="0.14814814814814814"/>
        <n v="0.14285714285714285"/>
        <n v="0.13043478260869565"/>
        <n v="0.15789473684210525"/>
        <n v="0.2777777777777778"/>
        <n v="0.23076923076923078"/>
        <n v="0.35714285714285715"/>
        <n v="0.3684210526315789"/>
        <n v="0.36666666666666664"/>
        <n v="0.7407407407407407"/>
        <n v="0.4444444444444444"/>
        <n v="0.21875"/>
        <n v="0.3793103448275862"/>
        <n v="0.68"/>
        <n v="0.6666666666666666"/>
        <n v="0.7037037037037037"/>
        <n v="0.6206896551724138"/>
        <n v="0.48"/>
        <n v="0.30434782608695654"/>
        <n v="0.5416666666666666"/>
        <n v="0.21428571428571427"/>
        <n v="0.0"/>
        <n v="0.125"/>
        <n v="0.21052631578947367"/>
        <n v="0.1935483870967742"/>
        <n v="0.08823529411764706"/>
        <n v="0.17777777777777778"/>
        <n v="0.28888888888888886"/>
        <n v="0.45"/>
        <n v="0.12121212121212122"/>
        <n v="0.03333333333333333"/>
        <n v="0.10714285714285714"/>
        <n v="0.12903225806451613"/>
        <n v="0.22580645161290322"/>
        <n v="0.46153846153846156"/>
        <n v="0.4375"/>
        <n v="0.2222222222222222"/>
        <n v="0.20833333333333334"/>
        <n v="0.18518518518518517"/>
        <n v="0.24444444444444444"/>
        <n v="0.43902439024390244"/>
        <n v="0.5151515151515151"/>
        <n v="0.2702702702702703"/>
        <n v="0.07692307692307693"/>
        <n v="0.07142857142857142"/>
        <n v="0.1111111111111111"/>
        <n v="0.5769230769230769"/>
        <n v="0.5555555555555556"/>
        <n v="0.3333333333333333"/>
        <n v="0.19230769230769232"/>
        <n v="0.3870967741935484"/>
        <n v="0.6363636363636364"/>
        <n v="0.38461538461538464"/>
        <n v="0.09375"/>
        <n v="0.030303030303030304"/>
        <n v="0.11538461538461539"/>
        <n v="0.11428571428571428"/>
        <n v="0.37142857142857144"/>
        <n v="0.43478260869565216"/>
        <n v="0.0625"/>
        <n v="0.11764705882352941"/>
        <n v="0.15151515151515152"/>
        <n v="0.05405405405405406"/>
        <n v="0.3448275862068966"/>
        <n v="0.2"/>
        <n v="0.09090909090909091"/>
        <n v="0.08695652173913043"/>
        <n v="0.15"/>
        <n v="0.2727272727272727"/>
        <n v="0.23529411764705882"/>
      </sharedItems>
    </cacheField>
    <cacheField name="Hours" numFmtId="0">
      <sharedItems>
        <s v="23"/>
        <s v="22"/>
        <s v="21"/>
        <s v="20"/>
        <s v="19"/>
        <s v="18"/>
        <s v="17"/>
        <s v="16"/>
        <s v="15"/>
        <s v="14"/>
        <s v="13"/>
        <s v="12"/>
        <s v="11"/>
        <s v="10"/>
        <s v="09"/>
        <s v="08"/>
        <s v="07"/>
        <s v="06"/>
        <s v="05"/>
        <s v="04"/>
        <s v="03"/>
        <s v="02"/>
        <s v="01"/>
        <s v="00"/>
      </sharedItems>
    </cacheField>
    <cacheField name="Weekdays" numFmtId="0">
      <sharedItems>
        <s v="2016-11-13"/>
        <s v="2016-11-12"/>
        <s v="2016-11-11"/>
        <s v="2016-11-10"/>
        <s v="2016-11-09"/>
        <s v="2016-11-08"/>
        <s v="2016-11-0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Q1" cacheId="0" dataCaption="" compact="0" compactData="0">
  <location ref="E5:M31"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People saw 0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eople saw +1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overage Ratio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 dataField="1" compact="0" outline="0" subtotalTop="0" dragToRow="0" dragToCol="0" dragToPage="0" showAll="0" includeNewItemsInFilter="1" defaultSubtotal="0"/>
  </pivotFields>
  <rowFields>
    <field x="4"/>
  </rowFields>
  <colFields>
    <field x="5"/>
  </colFields>
  <dataFields>
    <dataField name="SUM of Total number of unique searches" fld="6" baseField="0"/>
  </dataFields>
</pivotTableDefinition>
</file>

<file path=xl/pivotTables/pivotTable2.xml><?xml version="1.0" encoding="utf-8"?>
<pivotTableDefinition xmlns="http://schemas.openxmlformats.org/spreadsheetml/2006/main" name="Q1 2" cacheId="1" dataCaption="" compact="0" compactData="0">
  <location ref="B6:C10" firstHeaderRow="0" firstDataRow="1" firstDataCol="0" rowPageCount="1" colPageCount="1"/>
  <pivotFields>
    <pivotField name="Date" axis="axisRow" compact="0" outline="0" multipleItemSelectionAllowed="1" showAll="0" sortType="ascending">
      <items>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ame="People saw 0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eople saw +1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overage Ratio (unique)" axis="axisPage" dataField="1" compact="0"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x="43"/>
        <item h="1" x="44"/>
        <item h="1" x="45"/>
        <item h="1" x="46"/>
        <item h="1" x="47"/>
        <item h="1" x="48"/>
        <item h="1" x="49"/>
        <item h="1" x="50"/>
        <item h="1" x="51"/>
        <item h="1" x="52"/>
        <item h="1" x="53"/>
        <item h="1" x="54"/>
        <item h="1" x="55"/>
        <item t="default"/>
      </items>
    </pivotField>
    <pivotField name="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pageFields>
    <pageField fld="3"/>
  </pageFields>
  <dataFields>
    <dataField name="SUM of Coverage Ratio (unique)" fld="3" baseField="0"/>
  </dataFields>
</pivotTableDefinition>
</file>

<file path=xl/pivotTables/pivotTable3.xml><?xml version="1.0" encoding="utf-8"?>
<pivotTableDefinition xmlns="http://schemas.openxmlformats.org/spreadsheetml/2006/main" name="Q3" cacheId="0" dataCaption="" rowGrandTotals="0" colGrandTotals="0" compact="0" compactData="0">
  <location ref="B4:I29"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People saw 0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eople saw +1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overage Ratio (uniq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 compact="0" outline="0" subtotalTop="0" dragToRow="0" dragToCol="0" dragToPage="0" showAll="0" includeNewItemsInFilter="1" defaultSubtotal="0"/>
  </pivotFields>
  <rowFields>
    <field x="4"/>
  </rowFields>
  <colFields>
    <field x="5"/>
  </colFields>
  <dataFields>
    <dataField name="SUM of Coverage Ratio (unique)" fld="3" baseField="0"/>
  </dataFields>
</pivotTableDefinition>
</file>

<file path=xl/pivotTables/pivotTable4.xml><?xml version="1.0" encoding="utf-8"?>
<pivotTableDefinition xmlns="http://schemas.openxmlformats.org/spreadsheetml/2006/main" name="Q4" cacheId="2" dataCaption="" rowGrandTotals="0" colGrandTotals="0" compact="0" compactData="0">
  <location ref="A69:H94" firstHeaderRow="0" firstDataRow="1" firstDataCol="1"/>
  <pivotFields>
    <pivotField name="People saw 0 cars (uniq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eople saw +1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overage Ratio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3"/>
  </rowFields>
  <colFields>
    <field x="4"/>
  </colFields>
  <dataFields>
    <dataField name="SUM of People saw 0 cars (unique)" fld="0" baseField="0"/>
  </dataFields>
</pivotTableDefinition>
</file>

<file path=xl/pivotTables/pivotTable5.xml><?xml version="1.0" encoding="utf-8"?>
<pivotTableDefinition xmlns="http://schemas.openxmlformats.org/spreadsheetml/2006/main" name="Q5" cacheId="0" dataCaption="" rowGrandTotals="0" colGrandTotals="0" compact="0" compactData="0">
  <location ref="B19:I44"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People saw 0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eople saw +1 cars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overage Ratio (un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 dataField="1" compact="0" outline="0" subtotalTop="0" dragToRow="0" dragToCol="0" dragToPage="0" showAll="0" includeNewItemsInFilter="1" defaultSubtotal="0"/>
  </pivotFields>
  <rowFields>
    <field x="4"/>
  </rowFields>
  <colFields>
    <field x="5"/>
  </colFields>
  <dataFields>
    <dataField name="SUM of Total number of unique searches" fld="6" baseField="0"/>
  </dataFields>
</pivotTableDefinition>
</file>

<file path=xl/pivotTables/pivotTable6.xml><?xml version="1.0" encoding="utf-8"?>
<pivotTableDefinition xmlns="http://schemas.openxmlformats.org/spreadsheetml/2006/main" name="Q5 2" cacheId="3" dataCaption="" rowGrandTotals="0" colGrandTotals="0" compact="0" compactData="0">
  <location ref="B48:I73"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Finished Rides" fld="8" baseField="0"/>
  </dataFields>
</pivotTableDefinition>
</file>

<file path=xl/pivotTables/pivotTable7.xml><?xml version="1.0" encoding="utf-8"?>
<pivotTableDefinition xmlns="http://schemas.openxmlformats.org/spreadsheetml/2006/main" name="Q7" cacheId="3" dataCaption="" rowGrandTotals="0" colGrandTotals="0" compact="0" compactData="0">
  <location ref="B20:I45"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Utilization" fld="9" baseField="0"/>
  </dataFields>
</pivotTableDefinition>
</file>

<file path=xl/pivotTables/pivotTable8.xml><?xml version="1.0" encoding="utf-8"?>
<pivotTableDefinition xmlns="http://schemas.openxmlformats.org/spreadsheetml/2006/main" name="Q7 2" cacheId="3" dataCaption="" rowGrandTotals="0" colGrandTotals="0" compact="0" compactData="0">
  <location ref="B48:I73"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Finished Rides" fld="8" baseField="0"/>
  </dataFields>
</pivotTableDefinition>
</file>

<file path=xl/pivotTables/pivotTable9.xml><?xml version="1.0" encoding="utf-8"?>
<pivotTableDefinition xmlns="http://schemas.openxmlformats.org/spreadsheetml/2006/main" name="Working tables" cacheId="3" dataCaption="" rowGrandTotals="0" colGrandTotals="0" compact="0" compactData="0">
  <location ref="A1:H26"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Rides per online hour" fld="7" baseField="0"/>
  </dataFields>
</pivotTableDefinition>
</file>

<file path=xl/pivotTables/pivotTable10.xml><?xml version="1.0" encoding="utf-8"?>
<pivotTableDefinition xmlns="http://schemas.openxmlformats.org/spreadsheetml/2006/main" name="Working tables 2" cacheId="3" dataCaption="" rowGrandTotals="0" colGrandTotals="0" compact="0" compactData="0">
  <location ref="A29:H54"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Utilization" fld="9" baseField="0"/>
  </dataFields>
</pivotTableDefinition>
</file>

<file path=xl/pivotTables/pivotTable11.xml><?xml version="1.0" encoding="utf-8"?>
<pivotTableDefinition xmlns="http://schemas.openxmlformats.org/spreadsheetml/2006/main" name="Working tables 3" cacheId="3" dataCaption="" rowGrandTotals="0" colGrandTotals="0" compact="0" compactData="0">
  <location ref="A57:H82"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Active drivers" fld="1" baseField="0"/>
  </dataFields>
</pivotTableDefinition>
</file>

<file path=xl/pivotTables/pivotTable12.xml><?xml version="1.0" encoding="utf-8"?>
<pivotTableDefinition xmlns="http://schemas.openxmlformats.org/spreadsheetml/2006/main" name="Working tables 4" cacheId="3" dataCaption="" rowGrandTotals="0" colGrandTotals="0" compact="0" compactData="0">
  <location ref="A86:H111"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Active driv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nline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Has booking (h)" compact="0" outline="0" multipleItemSelectionAllowed="1" showAll="0">
      <items>
        <item x="0"/>
        <item x="1"/>
        <item x="2"/>
        <item x="3"/>
        <item x="4"/>
        <item x="5"/>
        <item x="6"/>
        <item x="7"/>
        <item x="8"/>
        <item x="9"/>
        <item x="10"/>
        <item x="11"/>
        <item x="12"/>
        <item x="13"/>
        <item x="14"/>
        <item x="15"/>
        <item x="16"/>
        <item x="17"/>
        <item x="18"/>
        <item t="default"/>
      </items>
    </pivotField>
    <pivotField name="Waiting for booking (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sy (h)"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s per active driver" compact="0" outline="0" multipleItemSelectionAllowed="1" showAll="0">
      <items>
        <item x="0"/>
        <item x="1"/>
        <item x="2"/>
        <item x="3"/>
        <item t="default"/>
      </items>
    </pivotField>
    <pivotField name="Rides per online ho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Finished Ri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Utilizatio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Hours"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Weekdays" axis="axisCol" compact="0" outline="0" multipleItemSelectionAllowed="1" showAll="0" sortType="ascending">
      <items>
        <item x="6"/>
        <item x="5"/>
        <item x="4"/>
        <item x="3"/>
        <item x="2"/>
        <item x="1"/>
        <item x="0"/>
        <item t="default"/>
      </items>
    </pivotField>
  </pivotFields>
  <rowFields>
    <field x="10"/>
  </rowFields>
  <colFields>
    <field x="11"/>
  </colFields>
  <dataFields>
    <dataField name="SUM of Finished Rides" fld="8" baseField="0"/>
  </dataFields>
</pivotTableDefinition>
</file>

<file path=xl/tables/table1.xml><?xml version="1.0" encoding="utf-8"?>
<table xmlns="http://schemas.openxmlformats.org/spreadsheetml/2006/main" ref="A15:H39" displayName="Table1" name="Table1" id="1">
  <tableColumns count="8">
    <tableColumn name="Hours" id="1"/>
    <tableColumn name="2016-11-07" id="2"/>
    <tableColumn name="2016-11-08" id="3"/>
    <tableColumn name="2016-11-09" id="4"/>
    <tableColumn name="2016-11-10" id="5"/>
    <tableColumn name="2016-11-11" id="6"/>
    <tableColumn name="2016-11-12" id="7"/>
    <tableColumn name="2016-11-13" id="8"/>
  </tableColumns>
  <tableStyleInfo name="Q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4" width="10.29"/>
    <col customWidth="1" min="5" max="11" width="16.86"/>
    <col customWidth="1" min="12" max="12" width="17.0"/>
    <col customWidth="1" hidden="1" min="13" max="14" width="10.71"/>
    <col customWidth="1" min="15" max="26" width="10.71"/>
  </cols>
  <sheetData>
    <row r="1" ht="54.75" customHeight="1">
      <c r="A1" s="1"/>
      <c r="B1" s="1"/>
      <c r="C1" s="1"/>
      <c r="D1" s="2" t="s">
        <v>0</v>
      </c>
      <c r="E1" s="1"/>
      <c r="F1" s="1"/>
      <c r="G1" s="1"/>
      <c r="H1" s="1"/>
      <c r="I1" s="1"/>
      <c r="J1" s="1"/>
      <c r="K1" s="1"/>
    </row>
    <row r="2" ht="15.0" customHeight="1"/>
    <row r="3">
      <c r="B3" s="3" t="s">
        <v>1</v>
      </c>
      <c r="C3" s="4"/>
      <c r="D3" s="4"/>
      <c r="E3" s="4"/>
      <c r="F3" s="4"/>
      <c r="G3" s="4"/>
      <c r="H3" s="4"/>
      <c r="I3" s="4"/>
      <c r="J3" s="4"/>
      <c r="K3" s="4"/>
    </row>
    <row r="4">
      <c r="B4" s="4"/>
      <c r="C4" s="4"/>
      <c r="D4" s="4"/>
      <c r="E4" s="4"/>
      <c r="F4" s="4"/>
      <c r="G4" s="4"/>
      <c r="H4" s="4"/>
      <c r="I4" s="4"/>
      <c r="J4" s="4"/>
      <c r="K4" s="4"/>
    </row>
    <row r="5" ht="45.0" customHeight="1">
      <c r="B5" s="5" t="s">
        <v>2</v>
      </c>
    </row>
    <row r="6" ht="45.0" customHeight="1">
      <c r="B6" s="5" t="s">
        <v>3</v>
      </c>
    </row>
    <row r="7">
      <c r="B7" s="4"/>
      <c r="C7" s="4"/>
      <c r="D7" s="4"/>
      <c r="E7" s="4"/>
      <c r="F7" s="4"/>
      <c r="G7" s="4"/>
      <c r="H7" s="4"/>
      <c r="I7" s="4"/>
      <c r="J7" s="4"/>
      <c r="K7" s="4"/>
    </row>
    <row r="8">
      <c r="B8" s="6"/>
      <c r="C8" s="6"/>
      <c r="D8" s="6"/>
      <c r="E8" s="6"/>
      <c r="F8" s="6"/>
      <c r="G8" s="6"/>
      <c r="H8" s="6"/>
      <c r="I8" s="6"/>
      <c r="J8" s="6"/>
      <c r="K8" s="6"/>
    </row>
    <row r="9">
      <c r="B9" s="7" t="s">
        <v>4</v>
      </c>
      <c r="C9" s="4"/>
      <c r="D9" s="4"/>
      <c r="E9" s="4"/>
      <c r="F9" s="4"/>
      <c r="G9" s="4"/>
      <c r="H9" s="4"/>
      <c r="I9" s="4"/>
      <c r="J9" s="4"/>
      <c r="K9" s="4"/>
    </row>
    <row r="10" ht="45.0" customHeight="1">
      <c r="B10" s="8" t="s">
        <v>5</v>
      </c>
      <c r="C10" s="9"/>
      <c r="D10" s="9"/>
      <c r="E10" s="9"/>
      <c r="F10" s="9"/>
      <c r="G10" s="9"/>
      <c r="H10" s="9"/>
      <c r="I10" s="9"/>
      <c r="J10" s="9"/>
      <c r="K10" s="9"/>
      <c r="L10" s="10"/>
    </row>
    <row r="11" ht="45.0" customHeight="1">
      <c r="B11" s="11" t="s">
        <v>6</v>
      </c>
      <c r="L11" s="12"/>
      <c r="N11" s="13"/>
    </row>
    <row r="12" ht="45.0" customHeight="1">
      <c r="B12" s="14" t="s">
        <v>7</v>
      </c>
      <c r="C12" s="15"/>
      <c r="D12" s="15"/>
      <c r="E12" s="15"/>
      <c r="F12" s="15"/>
      <c r="G12" s="15"/>
      <c r="H12" s="15"/>
      <c r="I12" s="15"/>
      <c r="J12" s="15"/>
      <c r="K12" s="15"/>
      <c r="L12" s="12"/>
    </row>
    <row r="13" ht="45.0" customHeight="1">
      <c r="B13" s="5" t="s">
        <v>8</v>
      </c>
      <c r="L13" s="12"/>
    </row>
    <row r="14" ht="45.0" customHeight="1">
      <c r="B14" s="14" t="s">
        <v>9</v>
      </c>
      <c r="C14" s="15"/>
      <c r="D14" s="15"/>
      <c r="E14" s="15"/>
      <c r="F14" s="15"/>
      <c r="G14" s="15"/>
      <c r="H14" s="15"/>
      <c r="I14" s="15"/>
      <c r="J14" s="15"/>
      <c r="K14" s="15"/>
      <c r="L14" s="12"/>
    </row>
    <row r="15" ht="45.0" customHeight="1">
      <c r="B15" s="5" t="s">
        <v>10</v>
      </c>
      <c r="L15" s="12"/>
    </row>
    <row r="16" ht="45.0" customHeight="1">
      <c r="B16" s="14" t="s">
        <v>11</v>
      </c>
      <c r="C16" s="15"/>
      <c r="D16" s="15"/>
      <c r="E16" s="15"/>
      <c r="F16" s="15"/>
      <c r="G16" s="15"/>
      <c r="H16" s="15"/>
      <c r="I16" s="15"/>
      <c r="J16" s="15"/>
      <c r="K16" s="15"/>
      <c r="L16" s="12"/>
    </row>
    <row r="17" ht="15.75" customHeight="1"/>
    <row r="18" ht="15.75" hidden="1" customHeight="1"/>
    <row r="19" ht="15.75" hidden="1" customHeight="1"/>
    <row r="20" ht="15.75" hidden="1" customHeight="1"/>
    <row r="21" ht="15.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15.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9">
    <mergeCell ref="B15:K15"/>
    <mergeCell ref="B16:K16"/>
    <mergeCell ref="B5:K5"/>
    <mergeCell ref="B6:K6"/>
    <mergeCell ref="B10:K10"/>
    <mergeCell ref="B11:K11"/>
    <mergeCell ref="B12:K12"/>
    <mergeCell ref="B13:K13"/>
    <mergeCell ref="B14:K1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12" width="9.14"/>
    <col customWidth="1" min="13" max="13" width="5.43"/>
    <col customWidth="1" min="14" max="24" width="9.14"/>
    <col customWidth="1" hidden="1" min="25" max="26" width="10.71"/>
  </cols>
  <sheetData>
    <row r="1" ht="54.75" customHeight="1">
      <c r="A1" s="1"/>
      <c r="B1" s="1"/>
      <c r="C1" s="1"/>
      <c r="D1" s="2" t="s">
        <v>0</v>
      </c>
      <c r="E1" s="1"/>
      <c r="F1" s="1"/>
      <c r="G1" s="1"/>
      <c r="H1" s="1"/>
      <c r="I1" s="1"/>
      <c r="J1" s="1"/>
      <c r="K1" s="1"/>
      <c r="L1" s="1"/>
    </row>
    <row r="2" ht="15.0" customHeight="1"/>
    <row r="3">
      <c r="B3" s="16" t="s">
        <v>12</v>
      </c>
      <c r="C3" s="4"/>
      <c r="D3" s="4"/>
      <c r="E3" s="4"/>
      <c r="F3" s="4"/>
      <c r="G3" s="4"/>
      <c r="H3" s="4"/>
      <c r="I3" s="4"/>
      <c r="J3" s="4"/>
      <c r="K3" s="4"/>
      <c r="L3" s="4"/>
      <c r="N3" s="16" t="s">
        <v>13</v>
      </c>
    </row>
    <row r="4">
      <c r="B4" s="4"/>
      <c r="C4" s="4"/>
      <c r="D4" s="4"/>
      <c r="E4" s="4"/>
      <c r="F4" s="4"/>
      <c r="G4" s="4"/>
      <c r="H4" s="4"/>
      <c r="I4" s="4"/>
      <c r="J4" s="4"/>
      <c r="K4" s="4"/>
      <c r="L4" s="4"/>
    </row>
    <row r="5" ht="45.0" customHeight="1">
      <c r="B5" s="11" t="s">
        <v>14</v>
      </c>
      <c r="N5" s="11" t="s">
        <v>15</v>
      </c>
    </row>
    <row r="6">
      <c r="B6" s="7"/>
      <c r="C6" s="4"/>
      <c r="D6" s="4"/>
      <c r="E6" s="4"/>
      <c r="F6" s="4"/>
      <c r="G6" s="4"/>
      <c r="H6" s="4"/>
      <c r="I6" s="4"/>
      <c r="J6" s="4"/>
      <c r="K6" s="4"/>
      <c r="L6" s="4"/>
      <c r="N6" s="7"/>
    </row>
    <row r="7">
      <c r="B7" s="7" t="s">
        <v>16</v>
      </c>
      <c r="C7" s="4"/>
      <c r="D7" s="4"/>
      <c r="E7" s="4"/>
      <c r="F7" s="4"/>
      <c r="G7" s="4"/>
      <c r="H7" s="4"/>
      <c r="I7" s="4"/>
      <c r="J7" s="4"/>
      <c r="K7" s="4"/>
      <c r="L7" s="4"/>
      <c r="N7" s="7" t="s">
        <v>16</v>
      </c>
    </row>
    <row r="8" ht="24.75" customHeight="1">
      <c r="B8" s="17" t="s">
        <v>17</v>
      </c>
      <c r="C8" s="6"/>
      <c r="D8" s="6"/>
      <c r="E8" s="6"/>
      <c r="F8" s="6"/>
      <c r="G8" s="6"/>
      <c r="H8" s="4"/>
      <c r="I8" s="4"/>
      <c r="J8" s="4"/>
      <c r="K8" s="4"/>
      <c r="L8" s="4"/>
      <c r="N8" s="18" t="s">
        <v>18</v>
      </c>
      <c r="O8" s="19"/>
      <c r="P8" s="19"/>
      <c r="Q8" s="19"/>
      <c r="R8" s="19"/>
      <c r="S8" s="19"/>
    </row>
    <row r="9" ht="24.75" customHeight="1">
      <c r="B9" s="18" t="s">
        <v>19</v>
      </c>
      <c r="C9" s="6"/>
      <c r="D9" s="6"/>
      <c r="E9" s="6"/>
      <c r="F9" s="6"/>
      <c r="G9" s="6"/>
      <c r="H9" s="4"/>
      <c r="I9" s="4"/>
      <c r="J9" s="4"/>
      <c r="K9" s="4"/>
      <c r="L9" s="4"/>
      <c r="N9" s="17" t="s">
        <v>20</v>
      </c>
      <c r="O9" s="19"/>
      <c r="P9" s="19"/>
      <c r="Q9" s="19"/>
      <c r="R9" s="19"/>
      <c r="S9" s="19"/>
      <c r="T9" s="20"/>
      <c r="U9" s="20"/>
      <c r="V9" s="20"/>
      <c r="W9" s="20"/>
      <c r="X9" s="20"/>
      <c r="Y9" s="20"/>
      <c r="Z9" s="20"/>
    </row>
    <row r="10" ht="24.75" customHeight="1">
      <c r="B10" s="18" t="s">
        <v>21</v>
      </c>
      <c r="C10" s="21"/>
      <c r="D10" s="21"/>
      <c r="E10" s="21"/>
      <c r="F10" s="21"/>
      <c r="G10" s="21"/>
      <c r="H10" s="4"/>
      <c r="I10" s="4"/>
      <c r="J10" s="4"/>
      <c r="K10" s="4"/>
      <c r="L10" s="4"/>
      <c r="N10" s="17" t="s">
        <v>22</v>
      </c>
      <c r="O10" s="19"/>
      <c r="P10" s="19"/>
      <c r="Q10" s="19"/>
      <c r="R10" s="19"/>
      <c r="S10" s="19"/>
      <c r="T10" s="20"/>
      <c r="U10" s="20"/>
      <c r="V10" s="20"/>
      <c r="W10" s="20"/>
      <c r="X10" s="20"/>
      <c r="Y10" s="20"/>
      <c r="Z10" s="20"/>
    </row>
    <row r="11" ht="24.75" customHeight="1">
      <c r="B11" s="18" t="s">
        <v>23</v>
      </c>
      <c r="C11" s="21"/>
      <c r="D11" s="21"/>
      <c r="E11" s="21"/>
      <c r="F11" s="21"/>
      <c r="G11" s="21"/>
      <c r="H11" s="4"/>
      <c r="I11" s="4"/>
      <c r="J11" s="4"/>
      <c r="K11" s="4"/>
      <c r="L11" s="4"/>
      <c r="N11" s="17" t="s">
        <v>24</v>
      </c>
      <c r="O11" s="19"/>
      <c r="P11" s="19"/>
      <c r="Q11" s="19"/>
      <c r="R11" s="19"/>
      <c r="S11" s="19"/>
      <c r="T11" s="20"/>
      <c r="U11" s="20"/>
      <c r="V11" s="20"/>
      <c r="W11" s="20"/>
      <c r="X11" s="20"/>
      <c r="Y11" s="20"/>
      <c r="Z11" s="20"/>
    </row>
    <row r="12" ht="24.75" customHeight="1">
      <c r="B12" s="4"/>
      <c r="C12" s="19"/>
      <c r="D12" s="19"/>
      <c r="E12" s="19"/>
      <c r="F12" s="19"/>
      <c r="G12" s="19"/>
      <c r="H12" s="4"/>
      <c r="I12" s="4"/>
      <c r="J12" s="4"/>
      <c r="K12" s="4"/>
      <c r="L12" s="4"/>
      <c r="N12" s="17" t="s">
        <v>25</v>
      </c>
      <c r="O12" s="19"/>
      <c r="P12" s="19"/>
      <c r="Q12" s="19"/>
      <c r="R12" s="19"/>
      <c r="S12" s="19"/>
      <c r="T12" s="20"/>
      <c r="U12" s="20"/>
      <c r="V12" s="20"/>
      <c r="W12" s="20"/>
      <c r="X12" s="20"/>
      <c r="Y12" s="20"/>
      <c r="Z12" s="20"/>
    </row>
    <row r="13" ht="24.75" customHeight="1">
      <c r="B13" s="22" t="s">
        <v>26</v>
      </c>
      <c r="C13" s="19"/>
      <c r="D13" s="19"/>
      <c r="E13" s="19"/>
      <c r="F13" s="19"/>
      <c r="G13" s="19"/>
      <c r="H13" s="4"/>
      <c r="I13" s="4"/>
      <c r="J13" s="4"/>
      <c r="K13" s="4"/>
      <c r="L13" s="4"/>
      <c r="N13" s="17" t="s">
        <v>27</v>
      </c>
      <c r="O13" s="19"/>
      <c r="P13" s="19"/>
      <c r="Q13" s="19"/>
      <c r="R13" s="19"/>
      <c r="S13" s="19"/>
      <c r="T13" s="20"/>
      <c r="U13" s="20"/>
      <c r="V13" s="20"/>
      <c r="W13" s="20"/>
      <c r="X13" s="20"/>
      <c r="Y13" s="20"/>
      <c r="Z13" s="20"/>
    </row>
    <row r="14" ht="24.75" customHeight="1">
      <c r="B14" s="4"/>
      <c r="C14" s="4"/>
      <c r="D14" s="4"/>
      <c r="E14" s="4"/>
      <c r="F14" s="4"/>
      <c r="G14" s="4"/>
      <c r="H14" s="4"/>
      <c r="I14" s="4"/>
      <c r="J14" s="4"/>
      <c r="K14" s="4"/>
      <c r="L14" s="4"/>
      <c r="N14" s="17" t="s">
        <v>28</v>
      </c>
      <c r="O14" s="19"/>
      <c r="P14" s="19"/>
      <c r="Q14" s="19"/>
      <c r="R14" s="19"/>
      <c r="S14" s="19"/>
      <c r="T14" s="20"/>
      <c r="U14" s="20"/>
      <c r="V14" s="20"/>
      <c r="W14" s="20"/>
      <c r="X14" s="20"/>
      <c r="Y14" s="20"/>
      <c r="Z14" s="20"/>
    </row>
    <row r="15" ht="24.75" customHeight="1">
      <c r="B15" s="4"/>
      <c r="C15" s="4"/>
      <c r="D15" s="4"/>
      <c r="E15" s="4"/>
      <c r="F15" s="4"/>
      <c r="G15" s="4"/>
      <c r="H15" s="4"/>
      <c r="I15" s="4"/>
      <c r="J15" s="4"/>
      <c r="K15" s="4"/>
      <c r="L15" s="4"/>
      <c r="N15" s="17" t="s">
        <v>29</v>
      </c>
      <c r="O15" s="19"/>
      <c r="P15" s="19"/>
      <c r="Q15" s="19"/>
      <c r="R15" s="19"/>
      <c r="S15" s="19"/>
      <c r="T15" s="20"/>
      <c r="U15" s="20"/>
      <c r="V15" s="20"/>
      <c r="W15" s="20"/>
      <c r="X15" s="20"/>
      <c r="Y15" s="20"/>
      <c r="Z15" s="20"/>
    </row>
    <row r="16" ht="24.75" customHeight="1">
      <c r="B16" s="4"/>
      <c r="C16" s="4"/>
      <c r="D16" s="4"/>
      <c r="E16" s="4"/>
      <c r="F16" s="4"/>
      <c r="G16" s="4"/>
      <c r="H16" s="4"/>
      <c r="I16" s="4"/>
      <c r="J16" s="4"/>
      <c r="K16" s="4"/>
      <c r="L16" s="4"/>
      <c r="N16" s="17" t="s">
        <v>30</v>
      </c>
      <c r="O16" s="19"/>
      <c r="P16" s="19"/>
      <c r="Q16" s="19"/>
      <c r="R16" s="19"/>
      <c r="S16" s="19"/>
      <c r="T16" s="20"/>
      <c r="U16" s="20"/>
      <c r="V16" s="20"/>
      <c r="W16" s="20"/>
      <c r="X16" s="20"/>
      <c r="Y16" s="20"/>
      <c r="Z16" s="20"/>
    </row>
    <row r="17" ht="24.75" customHeight="1">
      <c r="N17" s="4"/>
      <c r="O17" s="4"/>
      <c r="P17" s="4"/>
      <c r="Q17" s="4"/>
      <c r="R17" s="4"/>
      <c r="S17" s="4"/>
    </row>
    <row r="18" ht="24.75" customHeight="1">
      <c r="N18" s="22" t="s">
        <v>26</v>
      </c>
    </row>
    <row r="19" ht="24.75" customHeight="1"/>
    <row r="20" ht="15.75" hidden="1" customHeight="1">
      <c r="L20" s="23"/>
    </row>
    <row r="21" ht="15.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15.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B5:L5"/>
    <mergeCell ref="N5:W5"/>
    <mergeCell ref="N18:S18"/>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29.14"/>
    <col customWidth="1" min="3" max="3" width="30.14"/>
    <col customWidth="1" min="4" max="4" width="27.14"/>
    <col customWidth="1" min="5" max="5" width="8.86"/>
    <col customWidth="1" min="6" max="6" width="12.71"/>
  </cols>
  <sheetData>
    <row r="1">
      <c r="A1" s="24" t="s">
        <v>31</v>
      </c>
      <c r="B1" s="25" t="s">
        <v>32</v>
      </c>
      <c r="C1" s="25" t="s">
        <v>33</v>
      </c>
      <c r="D1" s="25" t="s">
        <v>34</v>
      </c>
      <c r="E1" s="26" t="s">
        <v>35</v>
      </c>
      <c r="F1" s="27" t="s">
        <v>36</v>
      </c>
    </row>
    <row r="2">
      <c r="A2" s="28" t="s">
        <v>37</v>
      </c>
      <c r="B2" s="29">
        <v>2.0</v>
      </c>
      <c r="C2" s="29">
        <v>34.0</v>
      </c>
      <c r="D2" s="29">
        <v>94.0</v>
      </c>
      <c r="E2" s="30" t="str">
        <f t="shared" ref="E2:E169" si="1">RIGHT(A2, 2)</f>
        <v>23</v>
      </c>
      <c r="F2" s="31" t="str">
        <f t="shared" ref="F2:F169" si="2">LEFT(A2, 10)</f>
        <v>2016-11-13</v>
      </c>
    </row>
    <row r="3">
      <c r="A3" s="28" t="s">
        <v>38</v>
      </c>
      <c r="B3" s="29">
        <v>7.0</v>
      </c>
      <c r="C3" s="29">
        <v>47.0</v>
      </c>
      <c r="D3" s="29">
        <v>87.0</v>
      </c>
      <c r="E3" s="30" t="str">
        <f t="shared" si="1"/>
        <v>22</v>
      </c>
      <c r="F3" s="31" t="str">
        <f t="shared" si="2"/>
        <v>2016-11-13</v>
      </c>
    </row>
    <row r="4">
      <c r="A4" s="28" t="s">
        <v>39</v>
      </c>
      <c r="B4" s="29">
        <v>14.0</v>
      </c>
      <c r="C4" s="29">
        <v>44.0</v>
      </c>
      <c r="D4" s="29">
        <v>76.0</v>
      </c>
      <c r="E4" s="30" t="str">
        <f t="shared" si="1"/>
        <v>21</v>
      </c>
      <c r="F4" s="31" t="str">
        <f t="shared" si="2"/>
        <v>2016-11-13</v>
      </c>
    </row>
    <row r="5">
      <c r="A5" s="28" t="s">
        <v>40</v>
      </c>
      <c r="B5" s="29">
        <v>5.0</v>
      </c>
      <c r="C5" s="29">
        <v>40.0</v>
      </c>
      <c r="D5" s="29">
        <v>89.0</v>
      </c>
      <c r="E5" s="30" t="str">
        <f t="shared" si="1"/>
        <v>20</v>
      </c>
      <c r="F5" s="31" t="str">
        <f t="shared" si="2"/>
        <v>2016-11-13</v>
      </c>
    </row>
    <row r="6">
      <c r="A6" s="28" t="s">
        <v>41</v>
      </c>
      <c r="B6" s="29">
        <v>7.0</v>
      </c>
      <c r="C6" s="29">
        <v>37.0</v>
      </c>
      <c r="D6" s="29">
        <v>84.0</v>
      </c>
      <c r="E6" s="30" t="str">
        <f t="shared" si="1"/>
        <v>19</v>
      </c>
      <c r="F6" s="31" t="str">
        <f t="shared" si="2"/>
        <v>2016-11-13</v>
      </c>
    </row>
    <row r="7">
      <c r="A7" s="28" t="s">
        <v>42</v>
      </c>
      <c r="B7" s="29">
        <v>8.0</v>
      </c>
      <c r="C7" s="29">
        <v>44.0</v>
      </c>
      <c r="D7" s="29">
        <v>85.0</v>
      </c>
      <c r="E7" s="30" t="str">
        <f t="shared" si="1"/>
        <v>18</v>
      </c>
      <c r="F7" s="31" t="str">
        <f t="shared" si="2"/>
        <v>2016-11-13</v>
      </c>
    </row>
    <row r="8">
      <c r="A8" s="28" t="s">
        <v>43</v>
      </c>
      <c r="B8" s="29">
        <v>13.0</v>
      </c>
      <c r="C8" s="29">
        <v>27.0</v>
      </c>
      <c r="D8" s="29">
        <v>68.0</v>
      </c>
      <c r="E8" s="30" t="str">
        <f t="shared" si="1"/>
        <v>17</v>
      </c>
      <c r="F8" s="31" t="str">
        <f t="shared" si="2"/>
        <v>2016-11-13</v>
      </c>
    </row>
    <row r="9">
      <c r="A9" s="28" t="s">
        <v>44</v>
      </c>
      <c r="B9" s="29">
        <v>9.0</v>
      </c>
      <c r="C9" s="29">
        <v>39.0</v>
      </c>
      <c r="D9" s="29">
        <v>81.0</v>
      </c>
      <c r="E9" s="30" t="str">
        <f t="shared" si="1"/>
        <v>16</v>
      </c>
      <c r="F9" s="31" t="str">
        <f t="shared" si="2"/>
        <v>2016-11-13</v>
      </c>
    </row>
    <row r="10">
      <c r="A10" s="28" t="s">
        <v>45</v>
      </c>
      <c r="B10" s="29">
        <v>7.0</v>
      </c>
      <c r="C10" s="29">
        <v>31.0</v>
      </c>
      <c r="D10" s="29">
        <v>82.0</v>
      </c>
      <c r="E10" s="30" t="str">
        <f t="shared" si="1"/>
        <v>15</v>
      </c>
      <c r="F10" s="31" t="str">
        <f t="shared" si="2"/>
        <v>2016-11-13</v>
      </c>
    </row>
    <row r="11">
      <c r="A11" s="28" t="s">
        <v>46</v>
      </c>
      <c r="B11" s="29">
        <v>14.0</v>
      </c>
      <c r="C11" s="29">
        <v>31.0</v>
      </c>
      <c r="D11" s="29">
        <v>69.0</v>
      </c>
      <c r="E11" s="30" t="str">
        <f t="shared" si="1"/>
        <v>14</v>
      </c>
      <c r="F11" s="31" t="str">
        <f t="shared" si="2"/>
        <v>2016-11-13</v>
      </c>
    </row>
    <row r="12">
      <c r="A12" s="28" t="s">
        <v>47</v>
      </c>
      <c r="B12" s="29">
        <v>14.0</v>
      </c>
      <c r="C12" s="29">
        <v>33.0</v>
      </c>
      <c r="D12" s="29">
        <v>70.0</v>
      </c>
      <c r="E12" s="30" t="str">
        <f t="shared" si="1"/>
        <v>13</v>
      </c>
      <c r="F12" s="31" t="str">
        <f t="shared" si="2"/>
        <v>2016-11-13</v>
      </c>
    </row>
    <row r="13">
      <c r="A13" s="28" t="s">
        <v>48</v>
      </c>
      <c r="B13" s="29">
        <v>10.0</v>
      </c>
      <c r="C13" s="29">
        <v>25.0</v>
      </c>
      <c r="D13" s="29">
        <v>71.0</v>
      </c>
      <c r="E13" s="30" t="str">
        <f t="shared" si="1"/>
        <v>12</v>
      </c>
      <c r="F13" s="31" t="str">
        <f t="shared" si="2"/>
        <v>2016-11-13</v>
      </c>
    </row>
    <row r="14">
      <c r="A14" s="28" t="s">
        <v>49</v>
      </c>
      <c r="B14" s="29">
        <v>5.0</v>
      </c>
      <c r="C14" s="29">
        <v>28.0</v>
      </c>
      <c r="D14" s="29">
        <v>85.0</v>
      </c>
      <c r="E14" s="30" t="str">
        <f t="shared" si="1"/>
        <v>11</v>
      </c>
      <c r="F14" s="31" t="str">
        <f t="shared" si="2"/>
        <v>2016-11-13</v>
      </c>
    </row>
    <row r="15">
      <c r="A15" s="28" t="s">
        <v>50</v>
      </c>
      <c r="B15" s="29">
        <v>16.0</v>
      </c>
      <c r="C15" s="29">
        <v>19.0</v>
      </c>
      <c r="D15" s="29">
        <v>54.0</v>
      </c>
      <c r="E15" s="30" t="str">
        <f t="shared" si="1"/>
        <v>10</v>
      </c>
      <c r="F15" s="31" t="str">
        <f t="shared" si="2"/>
        <v>2016-11-13</v>
      </c>
    </row>
    <row r="16">
      <c r="A16" s="28" t="s">
        <v>51</v>
      </c>
      <c r="B16" s="29">
        <v>13.0</v>
      </c>
      <c r="C16" s="29">
        <v>19.0</v>
      </c>
      <c r="D16" s="29">
        <v>59.0</v>
      </c>
      <c r="E16" s="30" t="str">
        <f t="shared" si="1"/>
        <v>09</v>
      </c>
      <c r="F16" s="31" t="str">
        <f t="shared" si="2"/>
        <v>2016-11-13</v>
      </c>
    </row>
    <row r="17">
      <c r="A17" s="28" t="s">
        <v>52</v>
      </c>
      <c r="B17" s="29">
        <v>4.0</v>
      </c>
      <c r="C17" s="29">
        <v>15.0</v>
      </c>
      <c r="D17" s="29">
        <v>79.0</v>
      </c>
      <c r="E17" s="30" t="str">
        <f t="shared" si="1"/>
        <v>08</v>
      </c>
      <c r="F17" s="31" t="str">
        <f t="shared" si="2"/>
        <v>2016-11-13</v>
      </c>
    </row>
    <row r="18">
      <c r="A18" s="28" t="s">
        <v>53</v>
      </c>
      <c r="B18" s="29">
        <v>5.0</v>
      </c>
      <c r="C18" s="29">
        <v>12.0</v>
      </c>
      <c r="D18" s="29">
        <v>71.0</v>
      </c>
      <c r="E18" s="30" t="str">
        <f t="shared" si="1"/>
        <v>07</v>
      </c>
      <c r="F18" s="31" t="str">
        <f t="shared" si="2"/>
        <v>2016-11-13</v>
      </c>
    </row>
    <row r="19">
      <c r="A19" s="28" t="s">
        <v>54</v>
      </c>
      <c r="B19" s="29">
        <v>3.0</v>
      </c>
      <c r="C19" s="29">
        <v>12.0</v>
      </c>
      <c r="D19" s="29">
        <v>80.0</v>
      </c>
      <c r="E19" s="30" t="str">
        <f t="shared" si="1"/>
        <v>06</v>
      </c>
      <c r="F19" s="31" t="str">
        <f t="shared" si="2"/>
        <v>2016-11-13</v>
      </c>
    </row>
    <row r="20">
      <c r="A20" s="28" t="s">
        <v>55</v>
      </c>
      <c r="B20" s="29">
        <v>4.0</v>
      </c>
      <c r="C20" s="29">
        <v>22.0</v>
      </c>
      <c r="D20" s="29">
        <v>85.0</v>
      </c>
      <c r="E20" s="30" t="str">
        <f t="shared" si="1"/>
        <v>05</v>
      </c>
      <c r="F20" s="31" t="str">
        <f t="shared" si="2"/>
        <v>2016-11-13</v>
      </c>
    </row>
    <row r="21" ht="15.75" customHeight="1">
      <c r="A21" s="28" t="s">
        <v>56</v>
      </c>
      <c r="B21" s="29">
        <v>28.0</v>
      </c>
      <c r="C21" s="29">
        <v>23.0</v>
      </c>
      <c r="D21" s="29">
        <v>45.0</v>
      </c>
      <c r="E21" s="30" t="str">
        <f t="shared" si="1"/>
        <v>04</v>
      </c>
      <c r="F21" s="31" t="str">
        <f t="shared" si="2"/>
        <v>2016-11-13</v>
      </c>
    </row>
    <row r="22" ht="15.75" customHeight="1">
      <c r="A22" s="28" t="s">
        <v>57</v>
      </c>
      <c r="B22" s="29">
        <v>19.0</v>
      </c>
      <c r="C22" s="29">
        <v>38.0</v>
      </c>
      <c r="D22" s="29">
        <v>67.0</v>
      </c>
      <c r="E22" s="30" t="str">
        <f t="shared" si="1"/>
        <v>03</v>
      </c>
      <c r="F22" s="31" t="str">
        <f t="shared" si="2"/>
        <v>2016-11-13</v>
      </c>
    </row>
    <row r="23" ht="15.75" customHeight="1">
      <c r="A23" s="28" t="s">
        <v>58</v>
      </c>
      <c r="B23" s="29">
        <v>13.0</v>
      </c>
      <c r="C23" s="29">
        <v>48.0</v>
      </c>
      <c r="D23" s="29">
        <v>79.0</v>
      </c>
      <c r="E23" s="30" t="str">
        <f t="shared" si="1"/>
        <v>02</v>
      </c>
      <c r="F23" s="31" t="str">
        <f t="shared" si="2"/>
        <v>2016-11-13</v>
      </c>
    </row>
    <row r="24" ht="15.75" customHeight="1">
      <c r="A24" s="28" t="s">
        <v>59</v>
      </c>
      <c r="B24" s="29">
        <v>7.0</v>
      </c>
      <c r="C24" s="29">
        <v>37.0</v>
      </c>
      <c r="D24" s="29">
        <v>84.0</v>
      </c>
      <c r="E24" s="30" t="str">
        <f t="shared" si="1"/>
        <v>01</v>
      </c>
      <c r="F24" s="31" t="str">
        <f t="shared" si="2"/>
        <v>2016-11-13</v>
      </c>
    </row>
    <row r="25" ht="15.75" customHeight="1">
      <c r="A25" s="28" t="s">
        <v>60</v>
      </c>
      <c r="B25" s="29">
        <v>18.0</v>
      </c>
      <c r="C25" s="29">
        <v>66.0</v>
      </c>
      <c r="D25" s="29">
        <v>79.0</v>
      </c>
      <c r="E25" s="30" t="str">
        <f t="shared" si="1"/>
        <v>00</v>
      </c>
      <c r="F25" s="31" t="str">
        <f t="shared" si="2"/>
        <v>2016-11-13</v>
      </c>
    </row>
    <row r="26" ht="15.75" customHeight="1">
      <c r="A26" s="28" t="s">
        <v>61</v>
      </c>
      <c r="B26" s="29">
        <v>29.0</v>
      </c>
      <c r="C26" s="29">
        <v>81.0</v>
      </c>
      <c r="D26" s="29">
        <v>74.0</v>
      </c>
      <c r="E26" s="30" t="str">
        <f t="shared" si="1"/>
        <v>23</v>
      </c>
      <c r="F26" s="31" t="str">
        <f t="shared" si="2"/>
        <v>2016-11-12</v>
      </c>
    </row>
    <row r="27" ht="15.75" customHeight="1">
      <c r="A27" s="28" t="s">
        <v>62</v>
      </c>
      <c r="B27" s="29">
        <v>14.0</v>
      </c>
      <c r="C27" s="29">
        <v>58.0</v>
      </c>
      <c r="D27" s="29">
        <v>81.0</v>
      </c>
      <c r="E27" s="30" t="str">
        <f t="shared" si="1"/>
        <v>22</v>
      </c>
      <c r="F27" s="31" t="str">
        <f t="shared" si="2"/>
        <v>2016-11-12</v>
      </c>
    </row>
    <row r="28" ht="15.75" customHeight="1">
      <c r="A28" s="28" t="s">
        <v>63</v>
      </c>
      <c r="B28" s="29">
        <v>5.0</v>
      </c>
      <c r="C28" s="29">
        <v>48.0</v>
      </c>
      <c r="D28" s="29">
        <v>91.0</v>
      </c>
      <c r="E28" s="30" t="str">
        <f t="shared" si="1"/>
        <v>21</v>
      </c>
      <c r="F28" s="31" t="str">
        <f t="shared" si="2"/>
        <v>2016-11-12</v>
      </c>
    </row>
    <row r="29" ht="15.75" customHeight="1">
      <c r="A29" s="28" t="s">
        <v>64</v>
      </c>
      <c r="B29" s="29">
        <v>9.0</v>
      </c>
      <c r="C29" s="29">
        <v>34.0</v>
      </c>
      <c r="D29" s="29">
        <v>79.0</v>
      </c>
      <c r="E29" s="30" t="str">
        <f t="shared" si="1"/>
        <v>20</v>
      </c>
      <c r="F29" s="31" t="str">
        <f t="shared" si="2"/>
        <v>2016-11-12</v>
      </c>
    </row>
    <row r="30" ht="15.75" customHeight="1">
      <c r="A30" s="28" t="s">
        <v>65</v>
      </c>
      <c r="B30" s="29">
        <v>11.0</v>
      </c>
      <c r="C30" s="29">
        <v>36.0</v>
      </c>
      <c r="D30" s="29">
        <v>77.0</v>
      </c>
      <c r="E30" s="30" t="str">
        <f t="shared" si="1"/>
        <v>19</v>
      </c>
      <c r="F30" s="31" t="str">
        <f t="shared" si="2"/>
        <v>2016-11-12</v>
      </c>
    </row>
    <row r="31" ht="15.75" customHeight="1">
      <c r="A31" s="28" t="s">
        <v>66</v>
      </c>
      <c r="B31" s="29">
        <v>11.0</v>
      </c>
      <c r="C31" s="29">
        <v>44.0</v>
      </c>
      <c r="D31" s="29">
        <v>80.0</v>
      </c>
      <c r="E31" s="30" t="str">
        <f t="shared" si="1"/>
        <v>18</v>
      </c>
      <c r="F31" s="31" t="str">
        <f t="shared" si="2"/>
        <v>2016-11-12</v>
      </c>
    </row>
    <row r="32" ht="15.75" customHeight="1">
      <c r="A32" s="28" t="s">
        <v>67</v>
      </c>
      <c r="B32" s="29">
        <v>9.0</v>
      </c>
      <c r="C32" s="29">
        <v>42.0</v>
      </c>
      <c r="D32" s="29">
        <v>82.0</v>
      </c>
      <c r="E32" s="30" t="str">
        <f t="shared" si="1"/>
        <v>17</v>
      </c>
      <c r="F32" s="31" t="str">
        <f t="shared" si="2"/>
        <v>2016-11-12</v>
      </c>
    </row>
    <row r="33" ht="15.75" customHeight="1">
      <c r="A33" s="28" t="s">
        <v>68</v>
      </c>
      <c r="B33" s="29">
        <v>10.0</v>
      </c>
      <c r="C33" s="29">
        <v>31.0</v>
      </c>
      <c r="D33" s="29">
        <v>76.0</v>
      </c>
      <c r="E33" s="30" t="str">
        <f t="shared" si="1"/>
        <v>16</v>
      </c>
      <c r="F33" s="31" t="str">
        <f t="shared" si="2"/>
        <v>2016-11-12</v>
      </c>
    </row>
    <row r="34" ht="15.75" customHeight="1">
      <c r="A34" s="28" t="s">
        <v>69</v>
      </c>
      <c r="B34" s="29">
        <v>2.0</v>
      </c>
      <c r="C34" s="29">
        <v>29.0</v>
      </c>
      <c r="D34" s="29">
        <v>94.0</v>
      </c>
      <c r="E34" s="30" t="str">
        <f t="shared" si="1"/>
        <v>15</v>
      </c>
      <c r="F34" s="31" t="str">
        <f t="shared" si="2"/>
        <v>2016-11-12</v>
      </c>
    </row>
    <row r="35" ht="15.75" customHeight="1">
      <c r="A35" s="28" t="s">
        <v>70</v>
      </c>
      <c r="B35" s="29">
        <v>7.0</v>
      </c>
      <c r="C35" s="29">
        <v>31.0</v>
      </c>
      <c r="D35" s="29">
        <v>82.0</v>
      </c>
      <c r="E35" s="30" t="str">
        <f t="shared" si="1"/>
        <v>14</v>
      </c>
      <c r="F35" s="31" t="str">
        <f t="shared" si="2"/>
        <v>2016-11-12</v>
      </c>
    </row>
    <row r="36" ht="15.75" customHeight="1">
      <c r="A36" s="28" t="s">
        <v>71</v>
      </c>
      <c r="B36" s="29">
        <v>16.0</v>
      </c>
      <c r="C36" s="29">
        <v>31.0</v>
      </c>
      <c r="D36" s="29">
        <v>66.0</v>
      </c>
      <c r="E36" s="30" t="str">
        <f t="shared" si="1"/>
        <v>13</v>
      </c>
      <c r="F36" s="31" t="str">
        <f t="shared" si="2"/>
        <v>2016-11-12</v>
      </c>
    </row>
    <row r="37" ht="15.75" customHeight="1">
      <c r="A37" s="28" t="s">
        <v>72</v>
      </c>
      <c r="B37" s="29">
        <v>21.0</v>
      </c>
      <c r="C37" s="29">
        <v>23.0</v>
      </c>
      <c r="D37" s="29">
        <v>52.0</v>
      </c>
      <c r="E37" s="30" t="str">
        <f t="shared" si="1"/>
        <v>12</v>
      </c>
      <c r="F37" s="31" t="str">
        <f t="shared" si="2"/>
        <v>2016-11-12</v>
      </c>
    </row>
    <row r="38" ht="15.75" customHeight="1">
      <c r="A38" s="28" t="s">
        <v>73</v>
      </c>
      <c r="B38" s="29">
        <v>18.0</v>
      </c>
      <c r="C38" s="29">
        <v>19.0</v>
      </c>
      <c r="D38" s="29">
        <v>51.0</v>
      </c>
      <c r="E38" s="30" t="str">
        <f t="shared" si="1"/>
        <v>11</v>
      </c>
      <c r="F38" s="31" t="str">
        <f t="shared" si="2"/>
        <v>2016-11-12</v>
      </c>
    </row>
    <row r="39" ht="15.75" customHeight="1">
      <c r="A39" s="28" t="s">
        <v>74</v>
      </c>
      <c r="B39" s="29">
        <v>12.0</v>
      </c>
      <c r="C39" s="29">
        <v>23.0</v>
      </c>
      <c r="D39" s="29">
        <v>66.0</v>
      </c>
      <c r="E39" s="30" t="str">
        <f t="shared" si="1"/>
        <v>10</v>
      </c>
      <c r="F39" s="31" t="str">
        <f t="shared" si="2"/>
        <v>2016-11-12</v>
      </c>
    </row>
    <row r="40" ht="15.75" customHeight="1">
      <c r="A40" s="28" t="s">
        <v>75</v>
      </c>
      <c r="B40" s="29">
        <v>5.0</v>
      </c>
      <c r="C40" s="29">
        <v>19.0</v>
      </c>
      <c r="D40" s="29">
        <v>79.0</v>
      </c>
      <c r="E40" s="30" t="str">
        <f t="shared" si="1"/>
        <v>09</v>
      </c>
      <c r="F40" s="31" t="str">
        <f t="shared" si="2"/>
        <v>2016-11-12</v>
      </c>
    </row>
    <row r="41" ht="15.75" customHeight="1">
      <c r="A41" s="28" t="s">
        <v>76</v>
      </c>
      <c r="B41" s="29">
        <v>12.0</v>
      </c>
      <c r="C41" s="29">
        <v>17.0</v>
      </c>
      <c r="D41" s="29">
        <v>59.0</v>
      </c>
      <c r="E41" s="30" t="str">
        <f t="shared" si="1"/>
        <v>08</v>
      </c>
      <c r="F41" s="31" t="str">
        <f t="shared" si="2"/>
        <v>2016-11-12</v>
      </c>
    </row>
    <row r="42" ht="15.75" customHeight="1">
      <c r="A42" s="28" t="s">
        <v>77</v>
      </c>
      <c r="B42" s="29">
        <v>4.0</v>
      </c>
      <c r="C42" s="29">
        <v>14.0</v>
      </c>
      <c r="D42" s="29">
        <v>78.0</v>
      </c>
      <c r="E42" s="30" t="str">
        <f t="shared" si="1"/>
        <v>07</v>
      </c>
      <c r="F42" s="31" t="str">
        <f t="shared" si="2"/>
        <v>2016-11-12</v>
      </c>
    </row>
    <row r="43" ht="15.75" customHeight="1">
      <c r="A43" s="28" t="s">
        <v>78</v>
      </c>
      <c r="B43" s="29">
        <v>2.0</v>
      </c>
      <c r="C43" s="29">
        <v>10.0</v>
      </c>
      <c r="D43" s="29">
        <v>83.0</v>
      </c>
      <c r="E43" s="30" t="str">
        <f t="shared" si="1"/>
        <v>06</v>
      </c>
      <c r="F43" s="31" t="str">
        <f t="shared" si="2"/>
        <v>2016-11-12</v>
      </c>
    </row>
    <row r="44" ht="15.75" customHeight="1">
      <c r="A44" s="28" t="s">
        <v>79</v>
      </c>
      <c r="B44" s="29">
        <v>6.0</v>
      </c>
      <c r="C44" s="29">
        <v>20.0</v>
      </c>
      <c r="D44" s="29">
        <v>77.0</v>
      </c>
      <c r="E44" s="30" t="str">
        <f t="shared" si="1"/>
        <v>05</v>
      </c>
      <c r="F44" s="31" t="str">
        <f t="shared" si="2"/>
        <v>2016-11-12</v>
      </c>
    </row>
    <row r="45" ht="15.75" customHeight="1">
      <c r="A45" s="28" t="s">
        <v>80</v>
      </c>
      <c r="B45" s="29">
        <v>14.0</v>
      </c>
      <c r="C45" s="29">
        <v>17.0</v>
      </c>
      <c r="D45" s="29">
        <v>55.0</v>
      </c>
      <c r="E45" s="30" t="str">
        <f t="shared" si="1"/>
        <v>04</v>
      </c>
      <c r="F45" s="31" t="str">
        <f t="shared" si="2"/>
        <v>2016-11-12</v>
      </c>
    </row>
    <row r="46" ht="15.75" customHeight="1">
      <c r="A46" s="28" t="s">
        <v>81</v>
      </c>
      <c r="B46" s="29">
        <v>12.0</v>
      </c>
      <c r="C46" s="29">
        <v>28.0</v>
      </c>
      <c r="D46" s="29">
        <v>70.0</v>
      </c>
      <c r="E46" s="30" t="str">
        <f t="shared" si="1"/>
        <v>03</v>
      </c>
      <c r="F46" s="31" t="str">
        <f t="shared" si="2"/>
        <v>2016-11-12</v>
      </c>
    </row>
    <row r="47" ht="15.75" customHeight="1">
      <c r="A47" s="28" t="s">
        <v>82</v>
      </c>
      <c r="B47" s="29">
        <v>2.0</v>
      </c>
      <c r="C47" s="29">
        <v>31.0</v>
      </c>
      <c r="D47" s="29">
        <v>94.0</v>
      </c>
      <c r="E47" s="30" t="str">
        <f t="shared" si="1"/>
        <v>02</v>
      </c>
      <c r="F47" s="31" t="str">
        <f t="shared" si="2"/>
        <v>2016-11-12</v>
      </c>
    </row>
    <row r="48" ht="15.75" customHeight="1">
      <c r="A48" s="28" t="s">
        <v>83</v>
      </c>
      <c r="B48" s="29">
        <v>6.0</v>
      </c>
      <c r="C48" s="29">
        <v>55.0</v>
      </c>
      <c r="D48" s="29">
        <v>90.0</v>
      </c>
      <c r="E48" s="30" t="str">
        <f t="shared" si="1"/>
        <v>01</v>
      </c>
      <c r="F48" s="31" t="str">
        <f t="shared" si="2"/>
        <v>2016-11-12</v>
      </c>
    </row>
    <row r="49" ht="15.75" customHeight="1">
      <c r="A49" s="28" t="s">
        <v>84</v>
      </c>
      <c r="B49" s="29">
        <v>70.0</v>
      </c>
      <c r="C49" s="29">
        <v>94.0</v>
      </c>
      <c r="D49" s="29">
        <v>57.0</v>
      </c>
      <c r="E49" s="30" t="str">
        <f t="shared" si="1"/>
        <v>00</v>
      </c>
      <c r="F49" s="31" t="str">
        <f t="shared" si="2"/>
        <v>2016-11-12</v>
      </c>
    </row>
    <row r="50" ht="15.75" customHeight="1">
      <c r="A50" s="28" t="s">
        <v>85</v>
      </c>
      <c r="B50" s="29">
        <v>33.0</v>
      </c>
      <c r="C50" s="29">
        <v>85.0</v>
      </c>
      <c r="D50" s="29">
        <v>72.0</v>
      </c>
      <c r="E50" s="30" t="str">
        <f t="shared" si="1"/>
        <v>23</v>
      </c>
      <c r="F50" s="31" t="str">
        <f t="shared" si="2"/>
        <v>2016-11-11</v>
      </c>
    </row>
    <row r="51" ht="15.75" customHeight="1">
      <c r="A51" s="28" t="s">
        <v>86</v>
      </c>
      <c r="B51" s="29">
        <v>6.0</v>
      </c>
      <c r="C51" s="29">
        <v>47.0</v>
      </c>
      <c r="D51" s="29">
        <v>89.0</v>
      </c>
      <c r="E51" s="30" t="str">
        <f t="shared" si="1"/>
        <v>22</v>
      </c>
      <c r="F51" s="31" t="str">
        <f t="shared" si="2"/>
        <v>2016-11-11</v>
      </c>
    </row>
    <row r="52" ht="15.75" customHeight="1">
      <c r="A52" s="28" t="s">
        <v>87</v>
      </c>
      <c r="B52" s="29">
        <v>17.0</v>
      </c>
      <c r="C52" s="29">
        <v>52.0</v>
      </c>
      <c r="D52" s="29">
        <v>75.0</v>
      </c>
      <c r="E52" s="30" t="str">
        <f t="shared" si="1"/>
        <v>21</v>
      </c>
      <c r="F52" s="31" t="str">
        <f t="shared" si="2"/>
        <v>2016-11-11</v>
      </c>
    </row>
    <row r="53" ht="15.75" customHeight="1">
      <c r="A53" s="28" t="s">
        <v>88</v>
      </c>
      <c r="B53" s="29">
        <v>48.0</v>
      </c>
      <c r="C53" s="29">
        <v>66.0</v>
      </c>
      <c r="D53" s="29">
        <v>58.0</v>
      </c>
      <c r="E53" s="30" t="str">
        <f t="shared" si="1"/>
        <v>20</v>
      </c>
      <c r="F53" s="31" t="str">
        <f t="shared" si="2"/>
        <v>2016-11-11</v>
      </c>
    </row>
    <row r="54" ht="15.75" customHeight="1">
      <c r="A54" s="28" t="s">
        <v>89</v>
      </c>
      <c r="B54" s="29">
        <v>47.0</v>
      </c>
      <c r="C54" s="29">
        <v>85.0</v>
      </c>
      <c r="D54" s="29">
        <v>64.0</v>
      </c>
      <c r="E54" s="30" t="str">
        <f t="shared" si="1"/>
        <v>19</v>
      </c>
      <c r="F54" s="31" t="str">
        <f t="shared" si="2"/>
        <v>2016-11-11</v>
      </c>
    </row>
    <row r="55" ht="15.75" customHeight="1">
      <c r="A55" s="28" t="s">
        <v>90</v>
      </c>
      <c r="B55" s="29">
        <v>71.0</v>
      </c>
      <c r="C55" s="29">
        <v>57.0</v>
      </c>
      <c r="D55" s="29">
        <v>45.0</v>
      </c>
      <c r="E55" s="30" t="str">
        <f t="shared" si="1"/>
        <v>18</v>
      </c>
      <c r="F55" s="31" t="str">
        <f t="shared" si="2"/>
        <v>2016-11-11</v>
      </c>
    </row>
    <row r="56" ht="15.75" customHeight="1">
      <c r="A56" s="28" t="s">
        <v>91</v>
      </c>
      <c r="B56" s="29">
        <v>32.0</v>
      </c>
      <c r="C56" s="29">
        <v>52.0</v>
      </c>
      <c r="D56" s="29">
        <v>62.0</v>
      </c>
      <c r="E56" s="30" t="str">
        <f t="shared" si="1"/>
        <v>17</v>
      </c>
      <c r="F56" s="31" t="str">
        <f t="shared" si="2"/>
        <v>2016-11-11</v>
      </c>
    </row>
    <row r="57" ht="15.75" customHeight="1">
      <c r="A57" s="28" t="s">
        <v>92</v>
      </c>
      <c r="B57" s="29">
        <v>27.0</v>
      </c>
      <c r="C57" s="29">
        <v>46.0</v>
      </c>
      <c r="D57" s="29">
        <v>63.0</v>
      </c>
      <c r="E57" s="30" t="str">
        <f t="shared" si="1"/>
        <v>16</v>
      </c>
      <c r="F57" s="31" t="str">
        <f t="shared" si="2"/>
        <v>2016-11-11</v>
      </c>
    </row>
    <row r="58" ht="15.75" customHeight="1">
      <c r="A58" s="28" t="s">
        <v>93</v>
      </c>
      <c r="B58" s="29">
        <v>7.0</v>
      </c>
      <c r="C58" s="29">
        <v>32.0</v>
      </c>
      <c r="D58" s="29">
        <v>82.0</v>
      </c>
      <c r="E58" s="30" t="str">
        <f t="shared" si="1"/>
        <v>15</v>
      </c>
      <c r="F58" s="31" t="str">
        <f t="shared" si="2"/>
        <v>2016-11-11</v>
      </c>
    </row>
    <row r="59" ht="15.75" customHeight="1">
      <c r="A59" s="28" t="s">
        <v>94</v>
      </c>
      <c r="B59" s="29">
        <v>11.0</v>
      </c>
      <c r="C59" s="29">
        <v>39.0</v>
      </c>
      <c r="D59" s="29">
        <v>78.0</v>
      </c>
      <c r="E59" s="30" t="str">
        <f t="shared" si="1"/>
        <v>14</v>
      </c>
      <c r="F59" s="31" t="str">
        <f t="shared" si="2"/>
        <v>2016-11-11</v>
      </c>
    </row>
    <row r="60" ht="15.75" customHeight="1">
      <c r="A60" s="28" t="s">
        <v>95</v>
      </c>
      <c r="B60" s="29">
        <v>9.0</v>
      </c>
      <c r="C60" s="29">
        <v>34.0</v>
      </c>
      <c r="D60" s="29">
        <v>79.0</v>
      </c>
      <c r="E60" s="30" t="str">
        <f t="shared" si="1"/>
        <v>13</v>
      </c>
      <c r="F60" s="31" t="str">
        <f t="shared" si="2"/>
        <v>2016-11-11</v>
      </c>
    </row>
    <row r="61" ht="15.75" customHeight="1">
      <c r="A61" s="28" t="s">
        <v>96</v>
      </c>
      <c r="B61" s="29">
        <v>12.0</v>
      </c>
      <c r="C61" s="29">
        <v>32.0</v>
      </c>
      <c r="D61" s="29">
        <v>73.0</v>
      </c>
      <c r="E61" s="30" t="str">
        <f t="shared" si="1"/>
        <v>12</v>
      </c>
      <c r="F61" s="31" t="str">
        <f t="shared" si="2"/>
        <v>2016-11-11</v>
      </c>
    </row>
    <row r="62" ht="15.75" customHeight="1">
      <c r="A62" s="28" t="s">
        <v>97</v>
      </c>
      <c r="B62" s="29">
        <v>13.0</v>
      </c>
      <c r="C62" s="29">
        <v>50.0</v>
      </c>
      <c r="D62" s="29">
        <v>79.0</v>
      </c>
      <c r="E62" s="30" t="str">
        <f t="shared" si="1"/>
        <v>11</v>
      </c>
      <c r="F62" s="31" t="str">
        <f t="shared" si="2"/>
        <v>2016-11-11</v>
      </c>
    </row>
    <row r="63" ht="15.75" customHeight="1">
      <c r="A63" s="28" t="s">
        <v>98</v>
      </c>
      <c r="B63" s="29">
        <v>27.0</v>
      </c>
      <c r="C63" s="29">
        <v>55.0</v>
      </c>
      <c r="D63" s="29">
        <v>67.0</v>
      </c>
      <c r="E63" s="30" t="str">
        <f t="shared" si="1"/>
        <v>10</v>
      </c>
      <c r="F63" s="31" t="str">
        <f t="shared" si="2"/>
        <v>2016-11-11</v>
      </c>
    </row>
    <row r="64" ht="15.75" customHeight="1">
      <c r="A64" s="28" t="s">
        <v>99</v>
      </c>
      <c r="B64" s="29">
        <v>29.0</v>
      </c>
      <c r="C64" s="29">
        <v>59.0</v>
      </c>
      <c r="D64" s="29">
        <v>67.0</v>
      </c>
      <c r="E64" s="30" t="str">
        <f t="shared" si="1"/>
        <v>09</v>
      </c>
      <c r="F64" s="31" t="str">
        <f t="shared" si="2"/>
        <v>2016-11-11</v>
      </c>
    </row>
    <row r="65" ht="15.75" customHeight="1">
      <c r="A65" s="28" t="s">
        <v>100</v>
      </c>
      <c r="B65" s="29">
        <v>27.0</v>
      </c>
      <c r="C65" s="29">
        <v>50.0</v>
      </c>
      <c r="D65" s="29">
        <v>65.0</v>
      </c>
      <c r="E65" s="30" t="str">
        <f t="shared" si="1"/>
        <v>08</v>
      </c>
      <c r="F65" s="31" t="str">
        <f t="shared" si="2"/>
        <v>2016-11-11</v>
      </c>
    </row>
    <row r="66" ht="15.75" customHeight="1">
      <c r="A66" s="28" t="s">
        <v>101</v>
      </c>
      <c r="B66" s="29">
        <v>15.0</v>
      </c>
      <c r="C66" s="29">
        <v>18.0</v>
      </c>
      <c r="D66" s="29">
        <v>55.0</v>
      </c>
      <c r="E66" s="30" t="str">
        <f t="shared" si="1"/>
        <v>07</v>
      </c>
      <c r="F66" s="31" t="str">
        <f t="shared" si="2"/>
        <v>2016-11-11</v>
      </c>
    </row>
    <row r="67" ht="15.75" customHeight="1">
      <c r="A67" s="28" t="s">
        <v>102</v>
      </c>
      <c r="B67" s="29">
        <v>4.0</v>
      </c>
      <c r="C67" s="29">
        <v>6.0</v>
      </c>
      <c r="D67" s="29">
        <v>60.0</v>
      </c>
      <c r="E67" s="30" t="str">
        <f t="shared" si="1"/>
        <v>06</v>
      </c>
      <c r="F67" s="31" t="str">
        <f t="shared" si="2"/>
        <v>2016-11-11</v>
      </c>
    </row>
    <row r="68" ht="15.75" customHeight="1">
      <c r="A68" s="28" t="s">
        <v>103</v>
      </c>
      <c r="B68" s="29">
        <v>1.0</v>
      </c>
      <c r="C68" s="29">
        <v>5.0</v>
      </c>
      <c r="D68" s="29">
        <v>83.0</v>
      </c>
      <c r="E68" s="30" t="str">
        <f t="shared" si="1"/>
        <v>05</v>
      </c>
      <c r="F68" s="31" t="str">
        <f t="shared" si="2"/>
        <v>2016-11-11</v>
      </c>
    </row>
    <row r="69" ht="15.75" customHeight="1">
      <c r="A69" s="28" t="s">
        <v>104</v>
      </c>
      <c r="B69" s="29">
        <v>4.0</v>
      </c>
      <c r="C69" s="29">
        <v>1.0</v>
      </c>
      <c r="D69" s="29">
        <v>20.0</v>
      </c>
      <c r="E69" s="30" t="str">
        <f t="shared" si="1"/>
        <v>04</v>
      </c>
      <c r="F69" s="31" t="str">
        <f t="shared" si="2"/>
        <v>2016-11-11</v>
      </c>
    </row>
    <row r="70" ht="15.75" customHeight="1">
      <c r="A70" s="28" t="s">
        <v>105</v>
      </c>
      <c r="B70" s="29">
        <v>2.0</v>
      </c>
      <c r="C70" s="29">
        <v>4.0</v>
      </c>
      <c r="D70" s="29">
        <v>67.0</v>
      </c>
      <c r="E70" s="30" t="str">
        <f t="shared" si="1"/>
        <v>03</v>
      </c>
      <c r="F70" s="31" t="str">
        <f t="shared" si="2"/>
        <v>2016-11-11</v>
      </c>
    </row>
    <row r="71" ht="15.75" customHeight="1">
      <c r="A71" s="28" t="s">
        <v>106</v>
      </c>
      <c r="B71" s="29">
        <v>1.0</v>
      </c>
      <c r="C71" s="29">
        <v>11.0</v>
      </c>
      <c r="D71" s="29">
        <v>92.0</v>
      </c>
      <c r="E71" s="30" t="str">
        <f t="shared" si="1"/>
        <v>02</v>
      </c>
      <c r="F71" s="31" t="str">
        <f t="shared" si="2"/>
        <v>2016-11-11</v>
      </c>
    </row>
    <row r="72" ht="15.75" customHeight="1">
      <c r="A72" s="28" t="s">
        <v>107</v>
      </c>
      <c r="B72" s="29">
        <v>5.0</v>
      </c>
      <c r="C72" s="29">
        <v>15.0</v>
      </c>
      <c r="D72" s="29">
        <v>75.0</v>
      </c>
      <c r="E72" s="30" t="str">
        <f t="shared" si="1"/>
        <v>01</v>
      </c>
      <c r="F72" s="31" t="str">
        <f t="shared" si="2"/>
        <v>2016-11-11</v>
      </c>
    </row>
    <row r="73" ht="15.75" customHeight="1">
      <c r="A73" s="28" t="s">
        <v>108</v>
      </c>
      <c r="B73" s="29">
        <v>8.0</v>
      </c>
      <c r="C73" s="29">
        <v>26.0</v>
      </c>
      <c r="D73" s="29">
        <v>76.0</v>
      </c>
      <c r="E73" s="30" t="str">
        <f t="shared" si="1"/>
        <v>00</v>
      </c>
      <c r="F73" s="31" t="str">
        <f t="shared" si="2"/>
        <v>2016-11-11</v>
      </c>
    </row>
    <row r="74" ht="15.75" customHeight="1">
      <c r="A74" s="28" t="s">
        <v>109</v>
      </c>
      <c r="B74" s="29">
        <v>10.0</v>
      </c>
      <c r="C74" s="29">
        <v>36.0</v>
      </c>
      <c r="D74" s="29">
        <v>78.0</v>
      </c>
      <c r="E74" s="30" t="str">
        <f t="shared" si="1"/>
        <v>23</v>
      </c>
      <c r="F74" s="31" t="str">
        <f t="shared" si="2"/>
        <v>2016-11-10</v>
      </c>
    </row>
    <row r="75" ht="15.75" customHeight="1">
      <c r="A75" s="28" t="s">
        <v>110</v>
      </c>
      <c r="B75" s="29">
        <v>7.0</v>
      </c>
      <c r="C75" s="29">
        <v>40.0</v>
      </c>
      <c r="D75" s="29">
        <v>85.0</v>
      </c>
      <c r="E75" s="30" t="str">
        <f t="shared" si="1"/>
        <v>22</v>
      </c>
      <c r="F75" s="31" t="str">
        <f t="shared" si="2"/>
        <v>2016-11-10</v>
      </c>
    </row>
    <row r="76" ht="15.75" customHeight="1">
      <c r="A76" s="28" t="s">
        <v>111</v>
      </c>
      <c r="B76" s="29">
        <v>2.0</v>
      </c>
      <c r="C76" s="29">
        <v>34.0</v>
      </c>
      <c r="D76" s="29">
        <v>94.0</v>
      </c>
      <c r="E76" s="30" t="str">
        <f t="shared" si="1"/>
        <v>21</v>
      </c>
      <c r="F76" s="31" t="str">
        <f t="shared" si="2"/>
        <v>2016-11-10</v>
      </c>
    </row>
    <row r="77" ht="15.75" customHeight="1">
      <c r="A77" s="28" t="s">
        <v>112</v>
      </c>
      <c r="B77" s="29">
        <v>6.0</v>
      </c>
      <c r="C77" s="29">
        <v>47.0</v>
      </c>
      <c r="D77" s="29">
        <v>89.0</v>
      </c>
      <c r="E77" s="30" t="str">
        <f t="shared" si="1"/>
        <v>20</v>
      </c>
      <c r="F77" s="31" t="str">
        <f t="shared" si="2"/>
        <v>2016-11-10</v>
      </c>
    </row>
    <row r="78" ht="15.75" customHeight="1">
      <c r="A78" s="28" t="s">
        <v>113</v>
      </c>
      <c r="B78" s="29">
        <v>9.0</v>
      </c>
      <c r="C78" s="29">
        <v>47.0</v>
      </c>
      <c r="D78" s="29">
        <v>84.0</v>
      </c>
      <c r="E78" s="30" t="str">
        <f t="shared" si="1"/>
        <v>19</v>
      </c>
      <c r="F78" s="31" t="str">
        <f t="shared" si="2"/>
        <v>2016-11-10</v>
      </c>
    </row>
    <row r="79" ht="15.75" customHeight="1">
      <c r="A79" s="28" t="s">
        <v>114</v>
      </c>
      <c r="B79" s="29">
        <v>7.0</v>
      </c>
      <c r="C79" s="29">
        <v>67.0</v>
      </c>
      <c r="D79" s="29">
        <v>91.0</v>
      </c>
      <c r="E79" s="30" t="str">
        <f t="shared" si="1"/>
        <v>18</v>
      </c>
      <c r="F79" s="31" t="str">
        <f t="shared" si="2"/>
        <v>2016-11-10</v>
      </c>
    </row>
    <row r="80" ht="15.75" customHeight="1">
      <c r="A80" s="28" t="s">
        <v>115</v>
      </c>
      <c r="B80" s="29">
        <v>11.0</v>
      </c>
      <c r="C80" s="29">
        <v>57.0</v>
      </c>
      <c r="D80" s="29">
        <v>84.0</v>
      </c>
      <c r="E80" s="30" t="str">
        <f t="shared" si="1"/>
        <v>17</v>
      </c>
      <c r="F80" s="31" t="str">
        <f t="shared" si="2"/>
        <v>2016-11-10</v>
      </c>
    </row>
    <row r="81" ht="15.75" customHeight="1">
      <c r="A81" s="28" t="s">
        <v>116</v>
      </c>
      <c r="B81" s="29">
        <v>5.0</v>
      </c>
      <c r="C81" s="29">
        <v>27.0</v>
      </c>
      <c r="D81" s="29">
        <v>84.0</v>
      </c>
      <c r="E81" s="30" t="str">
        <f t="shared" si="1"/>
        <v>16</v>
      </c>
      <c r="F81" s="31" t="str">
        <f t="shared" si="2"/>
        <v>2016-11-10</v>
      </c>
    </row>
    <row r="82" ht="15.75" customHeight="1">
      <c r="A82" s="28" t="s">
        <v>117</v>
      </c>
      <c r="B82" s="29">
        <v>6.0</v>
      </c>
      <c r="C82" s="29">
        <v>20.0</v>
      </c>
      <c r="D82" s="29">
        <v>77.0</v>
      </c>
      <c r="E82" s="30" t="str">
        <f t="shared" si="1"/>
        <v>15</v>
      </c>
      <c r="F82" s="31" t="str">
        <f t="shared" si="2"/>
        <v>2016-11-10</v>
      </c>
    </row>
    <row r="83" ht="15.75" customHeight="1">
      <c r="A83" s="28" t="s">
        <v>118</v>
      </c>
      <c r="B83" s="29">
        <v>2.0</v>
      </c>
      <c r="C83" s="29">
        <v>14.0</v>
      </c>
      <c r="D83" s="29">
        <v>88.0</v>
      </c>
      <c r="E83" s="30" t="str">
        <f t="shared" si="1"/>
        <v>14</v>
      </c>
      <c r="F83" s="31" t="str">
        <f t="shared" si="2"/>
        <v>2016-11-10</v>
      </c>
    </row>
    <row r="84" ht="15.75" customHeight="1">
      <c r="A84" s="28" t="s">
        <v>119</v>
      </c>
      <c r="B84" s="29">
        <v>4.0</v>
      </c>
      <c r="C84" s="29">
        <v>33.0</v>
      </c>
      <c r="D84" s="29">
        <v>89.0</v>
      </c>
      <c r="E84" s="30" t="str">
        <f t="shared" si="1"/>
        <v>13</v>
      </c>
      <c r="F84" s="31" t="str">
        <f t="shared" si="2"/>
        <v>2016-11-10</v>
      </c>
    </row>
    <row r="85" ht="15.75" customHeight="1">
      <c r="A85" s="28" t="s">
        <v>120</v>
      </c>
      <c r="B85" s="29">
        <v>4.0</v>
      </c>
      <c r="C85" s="29">
        <v>23.0</v>
      </c>
      <c r="D85" s="29">
        <v>85.0</v>
      </c>
      <c r="E85" s="30" t="str">
        <f t="shared" si="1"/>
        <v>12</v>
      </c>
      <c r="F85" s="31" t="str">
        <f t="shared" si="2"/>
        <v>2016-11-10</v>
      </c>
    </row>
    <row r="86" ht="15.75" customHeight="1">
      <c r="A86" s="28" t="s">
        <v>121</v>
      </c>
      <c r="B86" s="29">
        <v>3.0</v>
      </c>
      <c r="C86" s="29">
        <v>24.0</v>
      </c>
      <c r="D86" s="29">
        <v>89.0</v>
      </c>
      <c r="E86" s="30" t="str">
        <f t="shared" si="1"/>
        <v>11</v>
      </c>
      <c r="F86" s="31" t="str">
        <f t="shared" si="2"/>
        <v>2016-11-10</v>
      </c>
    </row>
    <row r="87" ht="15.75" customHeight="1">
      <c r="A87" s="28" t="s">
        <v>122</v>
      </c>
      <c r="B87" s="29">
        <v>8.0</v>
      </c>
      <c r="C87" s="29">
        <v>30.0</v>
      </c>
      <c r="D87" s="29">
        <v>79.0</v>
      </c>
      <c r="E87" s="30" t="str">
        <f t="shared" si="1"/>
        <v>10</v>
      </c>
      <c r="F87" s="31" t="str">
        <f t="shared" si="2"/>
        <v>2016-11-10</v>
      </c>
    </row>
    <row r="88" ht="15.75" customHeight="1">
      <c r="A88" s="28" t="s">
        <v>123</v>
      </c>
      <c r="B88" s="29">
        <v>40.0</v>
      </c>
      <c r="C88" s="29">
        <v>53.0</v>
      </c>
      <c r="D88" s="29">
        <v>57.0</v>
      </c>
      <c r="E88" s="30" t="str">
        <f t="shared" si="1"/>
        <v>09</v>
      </c>
      <c r="F88" s="31" t="str">
        <f t="shared" si="2"/>
        <v>2016-11-10</v>
      </c>
    </row>
    <row r="89" ht="15.75" customHeight="1">
      <c r="A89" s="28" t="s">
        <v>124</v>
      </c>
      <c r="B89" s="29">
        <v>33.0</v>
      </c>
      <c r="C89" s="29">
        <v>42.0</v>
      </c>
      <c r="D89" s="29">
        <v>56.0</v>
      </c>
      <c r="E89" s="30" t="str">
        <f t="shared" si="1"/>
        <v>08</v>
      </c>
      <c r="F89" s="31" t="str">
        <f t="shared" si="2"/>
        <v>2016-11-10</v>
      </c>
    </row>
    <row r="90" ht="15.75" customHeight="1">
      <c r="A90" s="28" t="s">
        <v>125</v>
      </c>
      <c r="B90" s="29">
        <v>16.0</v>
      </c>
      <c r="C90" s="29">
        <v>17.0</v>
      </c>
      <c r="D90" s="29">
        <v>52.0</v>
      </c>
      <c r="E90" s="30" t="str">
        <f t="shared" si="1"/>
        <v>07</v>
      </c>
      <c r="F90" s="31" t="str">
        <f t="shared" si="2"/>
        <v>2016-11-10</v>
      </c>
    </row>
    <row r="91" ht="15.75" customHeight="1">
      <c r="A91" s="28" t="s">
        <v>126</v>
      </c>
      <c r="B91" s="29">
        <v>3.0</v>
      </c>
      <c r="C91" s="29">
        <v>4.0</v>
      </c>
      <c r="D91" s="29">
        <v>57.0</v>
      </c>
      <c r="E91" s="30" t="str">
        <f t="shared" si="1"/>
        <v>06</v>
      </c>
      <c r="F91" s="31" t="str">
        <f t="shared" si="2"/>
        <v>2016-11-10</v>
      </c>
    </row>
    <row r="92" ht="15.75" customHeight="1">
      <c r="A92" s="28" t="s">
        <v>127</v>
      </c>
      <c r="B92" s="29">
        <v>2.0</v>
      </c>
      <c r="C92" s="29">
        <v>3.0</v>
      </c>
      <c r="D92" s="29">
        <v>60.0</v>
      </c>
      <c r="E92" s="30" t="str">
        <f t="shared" si="1"/>
        <v>05</v>
      </c>
      <c r="F92" s="31" t="str">
        <f t="shared" si="2"/>
        <v>2016-11-10</v>
      </c>
    </row>
    <row r="93" ht="15.75" customHeight="1">
      <c r="A93" s="28" t="s">
        <v>128</v>
      </c>
      <c r="B93" s="29">
        <v>2.0</v>
      </c>
      <c r="C93" s="29">
        <v>2.0</v>
      </c>
      <c r="D93" s="29">
        <v>50.0</v>
      </c>
      <c r="E93" s="30" t="str">
        <f t="shared" si="1"/>
        <v>04</v>
      </c>
      <c r="F93" s="31" t="str">
        <f t="shared" si="2"/>
        <v>2016-11-10</v>
      </c>
    </row>
    <row r="94" ht="15.75" customHeight="1">
      <c r="A94" s="28" t="s">
        <v>129</v>
      </c>
      <c r="B94" s="29">
        <v>0.0</v>
      </c>
      <c r="C94" s="29">
        <v>1.0</v>
      </c>
      <c r="D94" s="29">
        <v>100.0</v>
      </c>
      <c r="E94" s="30" t="str">
        <f t="shared" si="1"/>
        <v>03</v>
      </c>
      <c r="F94" s="31" t="str">
        <f t="shared" si="2"/>
        <v>2016-11-10</v>
      </c>
    </row>
    <row r="95" ht="15.75" customHeight="1">
      <c r="A95" s="28" t="s">
        <v>130</v>
      </c>
      <c r="B95" s="29">
        <v>2.0</v>
      </c>
      <c r="C95" s="29">
        <v>3.0</v>
      </c>
      <c r="D95" s="29">
        <v>60.0</v>
      </c>
      <c r="E95" s="30" t="str">
        <f t="shared" si="1"/>
        <v>02</v>
      </c>
      <c r="F95" s="31" t="str">
        <f t="shared" si="2"/>
        <v>2016-11-10</v>
      </c>
    </row>
    <row r="96" ht="15.75" customHeight="1">
      <c r="A96" s="28" t="s">
        <v>131</v>
      </c>
      <c r="B96" s="29">
        <v>6.0</v>
      </c>
      <c r="C96" s="29">
        <v>16.0</v>
      </c>
      <c r="D96" s="29">
        <v>73.0</v>
      </c>
      <c r="E96" s="30" t="str">
        <f t="shared" si="1"/>
        <v>01</v>
      </c>
      <c r="F96" s="31" t="str">
        <f t="shared" si="2"/>
        <v>2016-11-10</v>
      </c>
    </row>
    <row r="97" ht="15.75" customHeight="1">
      <c r="A97" s="28" t="s">
        <v>132</v>
      </c>
      <c r="B97" s="29">
        <v>6.0</v>
      </c>
      <c r="C97" s="29">
        <v>25.0</v>
      </c>
      <c r="D97" s="29">
        <v>81.0</v>
      </c>
      <c r="E97" s="30" t="str">
        <f t="shared" si="1"/>
        <v>00</v>
      </c>
      <c r="F97" s="31" t="str">
        <f t="shared" si="2"/>
        <v>2016-11-10</v>
      </c>
    </row>
    <row r="98" ht="15.75" customHeight="1">
      <c r="A98" s="28" t="s">
        <v>133</v>
      </c>
      <c r="B98" s="29">
        <v>14.0</v>
      </c>
      <c r="C98" s="29">
        <v>47.0</v>
      </c>
      <c r="D98" s="29">
        <v>77.0</v>
      </c>
      <c r="E98" s="30" t="str">
        <f t="shared" si="1"/>
        <v>23</v>
      </c>
      <c r="F98" s="31" t="str">
        <f t="shared" si="2"/>
        <v>2016-11-09</v>
      </c>
    </row>
    <row r="99" ht="15.75" customHeight="1">
      <c r="A99" s="28" t="s">
        <v>134</v>
      </c>
      <c r="B99" s="29">
        <v>2.0</v>
      </c>
      <c r="C99" s="29">
        <v>36.0</v>
      </c>
      <c r="D99" s="29">
        <v>95.0</v>
      </c>
      <c r="E99" s="30" t="str">
        <f t="shared" si="1"/>
        <v>22</v>
      </c>
      <c r="F99" s="31" t="str">
        <f t="shared" si="2"/>
        <v>2016-11-09</v>
      </c>
    </row>
    <row r="100" ht="15.75" customHeight="1">
      <c r="A100" s="28" t="s">
        <v>135</v>
      </c>
      <c r="B100" s="29">
        <v>3.0</v>
      </c>
      <c r="C100" s="29">
        <v>40.0</v>
      </c>
      <c r="D100" s="29">
        <v>93.0</v>
      </c>
      <c r="E100" s="30" t="str">
        <f t="shared" si="1"/>
        <v>21</v>
      </c>
      <c r="F100" s="31" t="str">
        <f t="shared" si="2"/>
        <v>2016-11-09</v>
      </c>
    </row>
    <row r="101" ht="15.75" customHeight="1">
      <c r="A101" s="28" t="s">
        <v>136</v>
      </c>
      <c r="B101" s="29">
        <v>3.0</v>
      </c>
      <c r="C101" s="29">
        <v>51.0</v>
      </c>
      <c r="D101" s="29">
        <v>94.0</v>
      </c>
      <c r="E101" s="30" t="str">
        <f t="shared" si="1"/>
        <v>20</v>
      </c>
      <c r="F101" s="31" t="str">
        <f t="shared" si="2"/>
        <v>2016-11-09</v>
      </c>
    </row>
    <row r="102" ht="15.75" customHeight="1">
      <c r="A102" s="28" t="s">
        <v>137</v>
      </c>
      <c r="B102" s="29">
        <v>12.0</v>
      </c>
      <c r="C102" s="29">
        <v>63.0</v>
      </c>
      <c r="D102" s="29">
        <v>84.0</v>
      </c>
      <c r="E102" s="30" t="str">
        <f t="shared" si="1"/>
        <v>19</v>
      </c>
      <c r="F102" s="31" t="str">
        <f t="shared" si="2"/>
        <v>2016-11-09</v>
      </c>
    </row>
    <row r="103" ht="15.75" customHeight="1">
      <c r="A103" s="28" t="s">
        <v>138</v>
      </c>
      <c r="B103" s="29">
        <v>15.0</v>
      </c>
      <c r="C103" s="29">
        <v>66.0</v>
      </c>
      <c r="D103" s="29">
        <v>81.0</v>
      </c>
      <c r="E103" s="30" t="str">
        <f t="shared" si="1"/>
        <v>18</v>
      </c>
      <c r="F103" s="31" t="str">
        <f t="shared" si="2"/>
        <v>2016-11-09</v>
      </c>
    </row>
    <row r="104" ht="15.75" customHeight="1">
      <c r="A104" s="28" t="s">
        <v>139</v>
      </c>
      <c r="B104" s="29">
        <v>4.0</v>
      </c>
      <c r="C104" s="29">
        <v>45.0</v>
      </c>
      <c r="D104" s="29">
        <v>92.0</v>
      </c>
      <c r="E104" s="30" t="str">
        <f t="shared" si="1"/>
        <v>17</v>
      </c>
      <c r="F104" s="31" t="str">
        <f t="shared" si="2"/>
        <v>2016-11-09</v>
      </c>
    </row>
    <row r="105" ht="15.75" customHeight="1">
      <c r="A105" s="28" t="s">
        <v>140</v>
      </c>
      <c r="B105" s="29">
        <v>9.0</v>
      </c>
      <c r="C105" s="29">
        <v>44.0</v>
      </c>
      <c r="D105" s="29">
        <v>83.0</v>
      </c>
      <c r="E105" s="30" t="str">
        <f t="shared" si="1"/>
        <v>16</v>
      </c>
      <c r="F105" s="31" t="str">
        <f t="shared" si="2"/>
        <v>2016-11-09</v>
      </c>
    </row>
    <row r="106" ht="15.75" customHeight="1">
      <c r="A106" s="28" t="s">
        <v>141</v>
      </c>
      <c r="B106" s="29">
        <v>5.0</v>
      </c>
      <c r="C106" s="29">
        <v>26.0</v>
      </c>
      <c r="D106" s="29">
        <v>84.0</v>
      </c>
      <c r="E106" s="30" t="str">
        <f t="shared" si="1"/>
        <v>15</v>
      </c>
      <c r="F106" s="31" t="str">
        <f t="shared" si="2"/>
        <v>2016-11-09</v>
      </c>
    </row>
    <row r="107" ht="15.75" customHeight="1">
      <c r="A107" s="28" t="s">
        <v>142</v>
      </c>
      <c r="B107" s="29">
        <v>2.0</v>
      </c>
      <c r="C107" s="29">
        <v>23.0</v>
      </c>
      <c r="D107" s="29">
        <v>92.0</v>
      </c>
      <c r="E107" s="30" t="str">
        <f t="shared" si="1"/>
        <v>14</v>
      </c>
      <c r="F107" s="31" t="str">
        <f t="shared" si="2"/>
        <v>2016-11-09</v>
      </c>
    </row>
    <row r="108" ht="15.75" customHeight="1">
      <c r="A108" s="28" t="s">
        <v>143</v>
      </c>
      <c r="B108" s="29">
        <v>4.0</v>
      </c>
      <c r="C108" s="29">
        <v>27.0</v>
      </c>
      <c r="D108" s="29">
        <v>87.0</v>
      </c>
      <c r="E108" s="30" t="str">
        <f t="shared" si="1"/>
        <v>13</v>
      </c>
      <c r="F108" s="31" t="str">
        <f t="shared" si="2"/>
        <v>2016-11-09</v>
      </c>
    </row>
    <row r="109" ht="15.75" customHeight="1">
      <c r="A109" s="28" t="s">
        <v>144</v>
      </c>
      <c r="B109" s="29">
        <v>11.0</v>
      </c>
      <c r="C109" s="29">
        <v>27.0</v>
      </c>
      <c r="D109" s="29">
        <v>71.0</v>
      </c>
      <c r="E109" s="30" t="str">
        <f t="shared" si="1"/>
        <v>12</v>
      </c>
      <c r="F109" s="31" t="str">
        <f t="shared" si="2"/>
        <v>2016-11-09</v>
      </c>
    </row>
    <row r="110" ht="15.75" customHeight="1">
      <c r="A110" s="28" t="s">
        <v>145</v>
      </c>
      <c r="B110" s="29">
        <v>8.0</v>
      </c>
      <c r="C110" s="29">
        <v>33.0</v>
      </c>
      <c r="D110" s="29">
        <v>80.0</v>
      </c>
      <c r="E110" s="30" t="str">
        <f t="shared" si="1"/>
        <v>11</v>
      </c>
      <c r="F110" s="31" t="str">
        <f t="shared" si="2"/>
        <v>2016-11-09</v>
      </c>
    </row>
    <row r="111" ht="15.75" customHeight="1">
      <c r="A111" s="28" t="s">
        <v>146</v>
      </c>
      <c r="B111" s="29">
        <v>18.0</v>
      </c>
      <c r="C111" s="29">
        <v>37.0</v>
      </c>
      <c r="D111" s="29">
        <v>67.0</v>
      </c>
      <c r="E111" s="30" t="str">
        <f t="shared" si="1"/>
        <v>10</v>
      </c>
      <c r="F111" s="31" t="str">
        <f t="shared" si="2"/>
        <v>2016-11-09</v>
      </c>
    </row>
    <row r="112" ht="15.75" customHeight="1">
      <c r="A112" s="28" t="s">
        <v>147</v>
      </c>
      <c r="B112" s="29">
        <v>45.0</v>
      </c>
      <c r="C112" s="29">
        <v>47.0</v>
      </c>
      <c r="D112" s="29">
        <v>51.0</v>
      </c>
      <c r="E112" s="30" t="str">
        <f t="shared" si="1"/>
        <v>09</v>
      </c>
      <c r="F112" s="31" t="str">
        <f t="shared" si="2"/>
        <v>2016-11-09</v>
      </c>
    </row>
    <row r="113" ht="15.75" customHeight="1">
      <c r="A113" s="28" t="s">
        <v>148</v>
      </c>
      <c r="B113" s="29">
        <v>59.0</v>
      </c>
      <c r="C113" s="29">
        <v>38.0</v>
      </c>
      <c r="D113" s="29">
        <v>39.0</v>
      </c>
      <c r="E113" s="30" t="str">
        <f t="shared" si="1"/>
        <v>08</v>
      </c>
      <c r="F113" s="31" t="str">
        <f t="shared" si="2"/>
        <v>2016-11-09</v>
      </c>
    </row>
    <row r="114" ht="15.75" customHeight="1">
      <c r="A114" s="28" t="s">
        <v>149</v>
      </c>
      <c r="B114" s="29">
        <v>16.0</v>
      </c>
      <c r="C114" s="29">
        <v>18.0</v>
      </c>
      <c r="D114" s="29">
        <v>53.0</v>
      </c>
      <c r="E114" s="30" t="str">
        <f t="shared" si="1"/>
        <v>07</v>
      </c>
      <c r="F114" s="31" t="str">
        <f t="shared" si="2"/>
        <v>2016-11-09</v>
      </c>
    </row>
    <row r="115" ht="15.75" customHeight="1">
      <c r="A115" s="28" t="s">
        <v>150</v>
      </c>
      <c r="B115" s="29">
        <v>9.0</v>
      </c>
      <c r="C115" s="29">
        <v>2.0</v>
      </c>
      <c r="D115" s="29">
        <v>18.0</v>
      </c>
      <c r="E115" s="30" t="str">
        <f t="shared" si="1"/>
        <v>06</v>
      </c>
      <c r="F115" s="31" t="str">
        <f t="shared" si="2"/>
        <v>2016-11-09</v>
      </c>
    </row>
    <row r="116" ht="15.75" customHeight="1">
      <c r="A116" s="28" t="s">
        <v>151</v>
      </c>
      <c r="B116" s="29">
        <v>2.0</v>
      </c>
      <c r="C116" s="29">
        <v>2.0</v>
      </c>
      <c r="D116" s="29">
        <v>50.0</v>
      </c>
      <c r="E116" s="30" t="str">
        <f t="shared" si="1"/>
        <v>05</v>
      </c>
      <c r="F116" s="31" t="str">
        <f t="shared" si="2"/>
        <v>2016-11-09</v>
      </c>
    </row>
    <row r="117" ht="15.75" customHeight="1">
      <c r="A117" s="28" t="s">
        <v>152</v>
      </c>
      <c r="B117" s="29">
        <v>4.0</v>
      </c>
      <c r="C117" s="29">
        <v>3.0</v>
      </c>
      <c r="D117" s="29">
        <v>43.0</v>
      </c>
      <c r="E117" s="30" t="str">
        <f t="shared" si="1"/>
        <v>04</v>
      </c>
      <c r="F117" s="31" t="str">
        <f t="shared" si="2"/>
        <v>2016-11-09</v>
      </c>
    </row>
    <row r="118" ht="15.75" customHeight="1">
      <c r="A118" s="28" t="s">
        <v>153</v>
      </c>
      <c r="B118" s="29">
        <v>4.0</v>
      </c>
      <c r="C118" s="29">
        <v>5.0</v>
      </c>
      <c r="D118" s="29">
        <v>56.0</v>
      </c>
      <c r="E118" s="30" t="str">
        <f t="shared" si="1"/>
        <v>03</v>
      </c>
      <c r="F118" s="31" t="str">
        <f t="shared" si="2"/>
        <v>2016-11-09</v>
      </c>
    </row>
    <row r="119" ht="15.75" customHeight="1">
      <c r="A119" s="28" t="s">
        <v>154</v>
      </c>
      <c r="B119" s="29">
        <v>1.0</v>
      </c>
      <c r="C119" s="29">
        <v>4.0</v>
      </c>
      <c r="D119" s="29">
        <v>80.0</v>
      </c>
      <c r="E119" s="30" t="str">
        <f t="shared" si="1"/>
        <v>02</v>
      </c>
      <c r="F119" s="31" t="str">
        <f t="shared" si="2"/>
        <v>2016-11-09</v>
      </c>
    </row>
    <row r="120" ht="15.75" customHeight="1">
      <c r="A120" s="28" t="s">
        <v>155</v>
      </c>
      <c r="B120" s="29">
        <v>5.0</v>
      </c>
      <c r="C120" s="29">
        <v>18.0</v>
      </c>
      <c r="D120" s="29">
        <v>78.0</v>
      </c>
      <c r="E120" s="30" t="str">
        <f t="shared" si="1"/>
        <v>01</v>
      </c>
      <c r="F120" s="31" t="str">
        <f t="shared" si="2"/>
        <v>2016-11-09</v>
      </c>
    </row>
    <row r="121" ht="15.75" customHeight="1">
      <c r="A121" s="28" t="s">
        <v>156</v>
      </c>
      <c r="B121" s="29">
        <v>3.0</v>
      </c>
      <c r="C121" s="29">
        <v>29.0</v>
      </c>
      <c r="D121" s="29">
        <v>91.0</v>
      </c>
      <c r="E121" s="30" t="str">
        <f t="shared" si="1"/>
        <v>00</v>
      </c>
      <c r="F121" s="31" t="str">
        <f t="shared" si="2"/>
        <v>2016-11-09</v>
      </c>
    </row>
    <row r="122" ht="15.75" customHeight="1">
      <c r="A122" s="28" t="s">
        <v>157</v>
      </c>
      <c r="B122" s="29">
        <v>16.0</v>
      </c>
      <c r="C122" s="29">
        <v>39.0</v>
      </c>
      <c r="D122" s="29">
        <v>71.0</v>
      </c>
      <c r="E122" s="30" t="str">
        <f t="shared" si="1"/>
        <v>23</v>
      </c>
      <c r="F122" s="31" t="str">
        <f t="shared" si="2"/>
        <v>2016-11-08</v>
      </c>
    </row>
    <row r="123" ht="15.75" customHeight="1">
      <c r="A123" s="28" t="s">
        <v>158</v>
      </c>
      <c r="B123" s="29">
        <v>12.0</v>
      </c>
      <c r="C123" s="29">
        <v>36.0</v>
      </c>
      <c r="D123" s="29">
        <v>75.0</v>
      </c>
      <c r="E123" s="30" t="str">
        <f t="shared" si="1"/>
        <v>22</v>
      </c>
      <c r="F123" s="31" t="str">
        <f t="shared" si="2"/>
        <v>2016-11-08</v>
      </c>
    </row>
    <row r="124" ht="15.75" customHeight="1">
      <c r="A124" s="28" t="s">
        <v>159</v>
      </c>
      <c r="B124" s="29">
        <v>8.0</v>
      </c>
      <c r="C124" s="29">
        <v>36.0</v>
      </c>
      <c r="D124" s="29">
        <v>82.0</v>
      </c>
      <c r="E124" s="30" t="str">
        <f t="shared" si="1"/>
        <v>21</v>
      </c>
      <c r="F124" s="31" t="str">
        <f t="shared" si="2"/>
        <v>2016-11-08</v>
      </c>
    </row>
    <row r="125" ht="15.75" customHeight="1">
      <c r="A125" s="28" t="s">
        <v>160</v>
      </c>
      <c r="B125" s="29">
        <v>16.0</v>
      </c>
      <c r="C125" s="29">
        <v>62.0</v>
      </c>
      <c r="D125" s="29">
        <v>79.0</v>
      </c>
      <c r="E125" s="30" t="str">
        <f t="shared" si="1"/>
        <v>20</v>
      </c>
      <c r="F125" s="31" t="str">
        <f t="shared" si="2"/>
        <v>2016-11-08</v>
      </c>
    </row>
    <row r="126" ht="15.75" customHeight="1">
      <c r="A126" s="28" t="s">
        <v>161</v>
      </c>
      <c r="B126" s="29">
        <v>12.0</v>
      </c>
      <c r="C126" s="29">
        <v>66.0</v>
      </c>
      <c r="D126" s="29">
        <v>85.0</v>
      </c>
      <c r="E126" s="30" t="str">
        <f t="shared" si="1"/>
        <v>19</v>
      </c>
      <c r="F126" s="31" t="str">
        <f t="shared" si="2"/>
        <v>2016-11-08</v>
      </c>
    </row>
    <row r="127" ht="15.75" customHeight="1">
      <c r="A127" s="28" t="s">
        <v>162</v>
      </c>
      <c r="B127" s="29">
        <v>42.0</v>
      </c>
      <c r="C127" s="29">
        <v>52.0</v>
      </c>
      <c r="D127" s="29">
        <v>55.0</v>
      </c>
      <c r="E127" s="30" t="str">
        <f t="shared" si="1"/>
        <v>18</v>
      </c>
      <c r="F127" s="31" t="str">
        <f t="shared" si="2"/>
        <v>2016-11-08</v>
      </c>
    </row>
    <row r="128" ht="15.75" customHeight="1">
      <c r="A128" s="28" t="s">
        <v>163</v>
      </c>
      <c r="B128" s="29">
        <v>13.0</v>
      </c>
      <c r="C128" s="29">
        <v>52.0</v>
      </c>
      <c r="D128" s="29">
        <v>80.0</v>
      </c>
      <c r="E128" s="30" t="str">
        <f t="shared" si="1"/>
        <v>17</v>
      </c>
      <c r="F128" s="31" t="str">
        <f t="shared" si="2"/>
        <v>2016-11-08</v>
      </c>
    </row>
    <row r="129" ht="15.75" customHeight="1">
      <c r="A129" s="28" t="s">
        <v>164</v>
      </c>
      <c r="B129" s="29">
        <v>2.0</v>
      </c>
      <c r="C129" s="29">
        <v>23.0</v>
      </c>
      <c r="D129" s="29">
        <v>92.0</v>
      </c>
      <c r="E129" s="30" t="str">
        <f t="shared" si="1"/>
        <v>16</v>
      </c>
      <c r="F129" s="31" t="str">
        <f t="shared" si="2"/>
        <v>2016-11-08</v>
      </c>
    </row>
    <row r="130" ht="15.75" customHeight="1">
      <c r="A130" s="28" t="s">
        <v>165</v>
      </c>
      <c r="B130" s="29">
        <v>1.0</v>
      </c>
      <c r="C130" s="29">
        <v>21.0</v>
      </c>
      <c r="D130" s="29">
        <v>95.0</v>
      </c>
      <c r="E130" s="30" t="str">
        <f t="shared" si="1"/>
        <v>15</v>
      </c>
      <c r="F130" s="31" t="str">
        <f t="shared" si="2"/>
        <v>2016-11-08</v>
      </c>
    </row>
    <row r="131" ht="15.75" customHeight="1">
      <c r="A131" s="28" t="s">
        <v>166</v>
      </c>
      <c r="B131" s="29">
        <v>5.0</v>
      </c>
      <c r="C131" s="29">
        <v>26.0</v>
      </c>
      <c r="D131" s="29">
        <v>84.0</v>
      </c>
      <c r="E131" s="30" t="str">
        <f t="shared" si="1"/>
        <v>14</v>
      </c>
      <c r="F131" s="31" t="str">
        <f t="shared" si="2"/>
        <v>2016-11-08</v>
      </c>
    </row>
    <row r="132" ht="15.75" customHeight="1">
      <c r="A132" s="28" t="s">
        <v>167</v>
      </c>
      <c r="B132" s="29">
        <v>3.0</v>
      </c>
      <c r="C132" s="29">
        <v>30.0</v>
      </c>
      <c r="D132" s="29">
        <v>91.0</v>
      </c>
      <c r="E132" s="30" t="str">
        <f t="shared" si="1"/>
        <v>13</v>
      </c>
      <c r="F132" s="31" t="str">
        <f t="shared" si="2"/>
        <v>2016-11-08</v>
      </c>
    </row>
    <row r="133" ht="15.75" customHeight="1">
      <c r="A133" s="28" t="s">
        <v>168</v>
      </c>
      <c r="B133" s="29">
        <v>3.0</v>
      </c>
      <c r="C133" s="29">
        <v>21.0</v>
      </c>
      <c r="D133" s="29">
        <v>88.0</v>
      </c>
      <c r="E133" s="30" t="str">
        <f t="shared" si="1"/>
        <v>12</v>
      </c>
      <c r="F133" s="31" t="str">
        <f t="shared" si="2"/>
        <v>2016-11-08</v>
      </c>
    </row>
    <row r="134" ht="15.75" customHeight="1">
      <c r="A134" s="28" t="s">
        <v>169</v>
      </c>
      <c r="B134" s="29">
        <v>5.0</v>
      </c>
      <c r="C134" s="29">
        <v>31.0</v>
      </c>
      <c r="D134" s="29">
        <v>86.0</v>
      </c>
      <c r="E134" s="30" t="str">
        <f t="shared" si="1"/>
        <v>11</v>
      </c>
      <c r="F134" s="31" t="str">
        <f t="shared" si="2"/>
        <v>2016-11-08</v>
      </c>
    </row>
    <row r="135" ht="15.75" customHeight="1">
      <c r="A135" s="28" t="s">
        <v>170</v>
      </c>
      <c r="B135" s="29">
        <v>10.0</v>
      </c>
      <c r="C135" s="29">
        <v>31.0</v>
      </c>
      <c r="D135" s="29">
        <v>76.0</v>
      </c>
      <c r="E135" s="30" t="str">
        <f t="shared" si="1"/>
        <v>10</v>
      </c>
      <c r="F135" s="31" t="str">
        <f t="shared" si="2"/>
        <v>2016-11-08</v>
      </c>
    </row>
    <row r="136" ht="15.75" customHeight="1">
      <c r="A136" s="28" t="s">
        <v>171</v>
      </c>
      <c r="B136" s="29">
        <v>16.0</v>
      </c>
      <c r="C136" s="29">
        <v>50.0</v>
      </c>
      <c r="D136" s="29">
        <v>76.0</v>
      </c>
      <c r="E136" s="30" t="str">
        <f t="shared" si="1"/>
        <v>09</v>
      </c>
      <c r="F136" s="31" t="str">
        <f t="shared" si="2"/>
        <v>2016-11-08</v>
      </c>
    </row>
    <row r="137" ht="15.75" customHeight="1">
      <c r="A137" s="28" t="s">
        <v>172</v>
      </c>
      <c r="B137" s="29">
        <v>23.0</v>
      </c>
      <c r="C137" s="29">
        <v>48.0</v>
      </c>
      <c r="D137" s="29">
        <v>68.0</v>
      </c>
      <c r="E137" s="30" t="str">
        <f t="shared" si="1"/>
        <v>08</v>
      </c>
      <c r="F137" s="31" t="str">
        <f t="shared" si="2"/>
        <v>2016-11-08</v>
      </c>
    </row>
    <row r="138" ht="15.75" customHeight="1">
      <c r="A138" s="28" t="s">
        <v>173</v>
      </c>
      <c r="B138" s="29">
        <v>12.0</v>
      </c>
      <c r="C138" s="29">
        <v>27.0</v>
      </c>
      <c r="D138" s="29">
        <v>69.0</v>
      </c>
      <c r="E138" s="30" t="str">
        <f t="shared" si="1"/>
        <v>07</v>
      </c>
      <c r="F138" s="31" t="str">
        <f t="shared" si="2"/>
        <v>2016-11-08</v>
      </c>
    </row>
    <row r="139" ht="15.75" customHeight="1">
      <c r="A139" s="28" t="s">
        <v>174</v>
      </c>
      <c r="B139" s="29">
        <v>4.0</v>
      </c>
      <c r="C139" s="29">
        <v>11.0</v>
      </c>
      <c r="D139" s="29">
        <v>73.0</v>
      </c>
      <c r="E139" s="30" t="str">
        <f t="shared" si="1"/>
        <v>06</v>
      </c>
      <c r="F139" s="31" t="str">
        <f t="shared" si="2"/>
        <v>2016-11-08</v>
      </c>
    </row>
    <row r="140" ht="15.75" customHeight="1">
      <c r="A140" s="28" t="s">
        <v>175</v>
      </c>
      <c r="B140" s="29">
        <v>0.0</v>
      </c>
      <c r="C140" s="29">
        <v>2.0</v>
      </c>
      <c r="D140" s="29">
        <v>100.0</v>
      </c>
      <c r="E140" s="30" t="str">
        <f t="shared" si="1"/>
        <v>05</v>
      </c>
      <c r="F140" s="31" t="str">
        <f t="shared" si="2"/>
        <v>2016-11-08</v>
      </c>
    </row>
    <row r="141" ht="15.75" customHeight="1">
      <c r="A141" s="28" t="s">
        <v>176</v>
      </c>
      <c r="B141" s="29">
        <v>3.0</v>
      </c>
      <c r="C141" s="29">
        <v>4.0</v>
      </c>
      <c r="D141" s="29">
        <v>57.0</v>
      </c>
      <c r="E141" s="30" t="str">
        <f t="shared" si="1"/>
        <v>04</v>
      </c>
      <c r="F141" s="31" t="str">
        <f t="shared" si="2"/>
        <v>2016-11-08</v>
      </c>
    </row>
    <row r="142" ht="15.75" customHeight="1">
      <c r="A142" s="28" t="s">
        <v>177</v>
      </c>
      <c r="B142" s="29">
        <v>5.0</v>
      </c>
      <c r="C142" s="29">
        <v>4.0</v>
      </c>
      <c r="D142" s="29">
        <v>44.0</v>
      </c>
      <c r="E142" s="30" t="str">
        <f t="shared" si="1"/>
        <v>03</v>
      </c>
      <c r="F142" s="31" t="str">
        <f t="shared" si="2"/>
        <v>2016-11-08</v>
      </c>
    </row>
    <row r="143" ht="15.75" customHeight="1">
      <c r="A143" s="28" t="s">
        <v>178</v>
      </c>
      <c r="B143" s="29">
        <v>4.0</v>
      </c>
      <c r="C143" s="29">
        <v>5.0</v>
      </c>
      <c r="D143" s="29">
        <v>56.0</v>
      </c>
      <c r="E143" s="30" t="str">
        <f t="shared" si="1"/>
        <v>02</v>
      </c>
      <c r="F143" s="31" t="str">
        <f t="shared" si="2"/>
        <v>2016-11-08</v>
      </c>
    </row>
    <row r="144" ht="15.75" customHeight="1">
      <c r="A144" s="28" t="s">
        <v>179</v>
      </c>
      <c r="B144" s="29">
        <v>1.0</v>
      </c>
      <c r="C144" s="29">
        <v>5.0</v>
      </c>
      <c r="D144" s="29">
        <v>83.0</v>
      </c>
      <c r="E144" s="30" t="str">
        <f t="shared" si="1"/>
        <v>01</v>
      </c>
      <c r="F144" s="31" t="str">
        <f t="shared" si="2"/>
        <v>2016-11-08</v>
      </c>
    </row>
    <row r="145" ht="15.75" customHeight="1">
      <c r="A145" s="28" t="s">
        <v>180</v>
      </c>
      <c r="B145" s="29">
        <v>1.0</v>
      </c>
      <c r="C145" s="29">
        <v>15.0</v>
      </c>
      <c r="D145" s="29">
        <v>94.0</v>
      </c>
      <c r="E145" s="30" t="str">
        <f t="shared" si="1"/>
        <v>00</v>
      </c>
      <c r="F145" s="31" t="str">
        <f t="shared" si="2"/>
        <v>2016-11-08</v>
      </c>
    </row>
    <row r="146" ht="15.75" customHeight="1">
      <c r="A146" s="28" t="s">
        <v>181</v>
      </c>
      <c r="B146" s="29">
        <v>9.0</v>
      </c>
      <c r="C146" s="29">
        <v>27.0</v>
      </c>
      <c r="D146" s="29">
        <v>75.0</v>
      </c>
      <c r="E146" s="30" t="str">
        <f t="shared" si="1"/>
        <v>23</v>
      </c>
      <c r="F146" s="31" t="str">
        <f t="shared" si="2"/>
        <v>2016-11-07</v>
      </c>
    </row>
    <row r="147" ht="15.75" customHeight="1">
      <c r="A147" s="28" t="s">
        <v>182</v>
      </c>
      <c r="B147" s="29">
        <v>4.0</v>
      </c>
      <c r="C147" s="29">
        <v>27.0</v>
      </c>
      <c r="D147" s="29">
        <v>87.0</v>
      </c>
      <c r="E147" s="30" t="str">
        <f t="shared" si="1"/>
        <v>22</v>
      </c>
      <c r="F147" s="31" t="str">
        <f t="shared" si="2"/>
        <v>2016-11-07</v>
      </c>
    </row>
    <row r="148" ht="15.75" customHeight="1">
      <c r="A148" s="28" t="s">
        <v>183</v>
      </c>
      <c r="B148" s="29">
        <v>7.0</v>
      </c>
      <c r="C148" s="29">
        <v>40.0</v>
      </c>
      <c r="D148" s="29">
        <v>85.0</v>
      </c>
      <c r="E148" s="30" t="str">
        <f t="shared" si="1"/>
        <v>21</v>
      </c>
      <c r="F148" s="31" t="str">
        <f t="shared" si="2"/>
        <v>2016-11-07</v>
      </c>
    </row>
    <row r="149" ht="15.75" customHeight="1">
      <c r="A149" s="28" t="s">
        <v>184</v>
      </c>
      <c r="B149" s="29">
        <v>4.0</v>
      </c>
      <c r="C149" s="29">
        <v>27.0</v>
      </c>
      <c r="D149" s="29">
        <v>87.0</v>
      </c>
      <c r="E149" s="30" t="str">
        <f t="shared" si="1"/>
        <v>20</v>
      </c>
      <c r="F149" s="31" t="str">
        <f t="shared" si="2"/>
        <v>2016-11-07</v>
      </c>
    </row>
    <row r="150" ht="15.75" customHeight="1">
      <c r="A150" s="28" t="s">
        <v>185</v>
      </c>
      <c r="B150" s="29">
        <v>9.0</v>
      </c>
      <c r="C150" s="29">
        <v>46.0</v>
      </c>
      <c r="D150" s="29">
        <v>84.0</v>
      </c>
      <c r="E150" s="30" t="str">
        <f t="shared" si="1"/>
        <v>19</v>
      </c>
      <c r="F150" s="31" t="str">
        <f t="shared" si="2"/>
        <v>2016-11-07</v>
      </c>
    </row>
    <row r="151" ht="15.75" customHeight="1">
      <c r="A151" s="28" t="s">
        <v>186</v>
      </c>
      <c r="B151" s="29">
        <v>2.0</v>
      </c>
      <c r="C151" s="29">
        <v>47.0</v>
      </c>
      <c r="D151" s="29">
        <v>96.0</v>
      </c>
      <c r="E151" s="30" t="str">
        <f t="shared" si="1"/>
        <v>18</v>
      </c>
      <c r="F151" s="31" t="str">
        <f t="shared" si="2"/>
        <v>2016-11-07</v>
      </c>
    </row>
    <row r="152" ht="15.75" customHeight="1">
      <c r="A152" s="28" t="s">
        <v>187</v>
      </c>
      <c r="B152" s="29">
        <v>1.0</v>
      </c>
      <c r="C152" s="29">
        <v>32.0</v>
      </c>
      <c r="D152" s="29">
        <v>97.0</v>
      </c>
      <c r="E152" s="30" t="str">
        <f t="shared" si="1"/>
        <v>17</v>
      </c>
      <c r="F152" s="31" t="str">
        <f t="shared" si="2"/>
        <v>2016-11-07</v>
      </c>
    </row>
    <row r="153" ht="15.75" customHeight="1">
      <c r="A153" s="28" t="s">
        <v>188</v>
      </c>
      <c r="B153" s="29">
        <v>0.0</v>
      </c>
      <c r="C153" s="29">
        <v>35.0</v>
      </c>
      <c r="D153" s="29">
        <v>100.0</v>
      </c>
      <c r="E153" s="30" t="str">
        <f t="shared" si="1"/>
        <v>16</v>
      </c>
      <c r="F153" s="31" t="str">
        <f t="shared" si="2"/>
        <v>2016-11-07</v>
      </c>
    </row>
    <row r="154" ht="15.75" customHeight="1">
      <c r="A154" s="28" t="s">
        <v>189</v>
      </c>
      <c r="B154" s="29">
        <v>3.0</v>
      </c>
      <c r="C154" s="29">
        <v>31.0</v>
      </c>
      <c r="D154" s="29">
        <v>91.0</v>
      </c>
      <c r="E154" s="30" t="str">
        <f t="shared" si="1"/>
        <v>15</v>
      </c>
      <c r="F154" s="31" t="str">
        <f t="shared" si="2"/>
        <v>2016-11-07</v>
      </c>
    </row>
    <row r="155" ht="15.75" customHeight="1">
      <c r="A155" s="28" t="s">
        <v>190</v>
      </c>
      <c r="B155" s="29">
        <v>2.0</v>
      </c>
      <c r="C155" s="29">
        <v>15.0</v>
      </c>
      <c r="D155" s="29">
        <v>88.0</v>
      </c>
      <c r="E155" s="30" t="str">
        <f t="shared" si="1"/>
        <v>14</v>
      </c>
      <c r="F155" s="31" t="str">
        <f t="shared" si="2"/>
        <v>2016-11-07</v>
      </c>
    </row>
    <row r="156" ht="15.75" customHeight="1">
      <c r="A156" s="28" t="s">
        <v>191</v>
      </c>
      <c r="B156" s="29">
        <v>5.0</v>
      </c>
      <c r="C156" s="29">
        <v>23.0</v>
      </c>
      <c r="D156" s="29">
        <v>82.0</v>
      </c>
      <c r="E156" s="30" t="str">
        <f t="shared" si="1"/>
        <v>13</v>
      </c>
      <c r="F156" s="31" t="str">
        <f t="shared" si="2"/>
        <v>2016-11-07</v>
      </c>
    </row>
    <row r="157" ht="15.75" customHeight="1">
      <c r="A157" s="28" t="s">
        <v>192</v>
      </c>
      <c r="B157" s="29">
        <v>4.0</v>
      </c>
      <c r="C157" s="29">
        <v>18.0</v>
      </c>
      <c r="D157" s="29">
        <v>82.0</v>
      </c>
      <c r="E157" s="30" t="str">
        <f t="shared" si="1"/>
        <v>12</v>
      </c>
      <c r="F157" s="31" t="str">
        <f t="shared" si="2"/>
        <v>2016-11-07</v>
      </c>
    </row>
    <row r="158" ht="15.75" customHeight="1">
      <c r="A158" s="28" t="s">
        <v>193</v>
      </c>
      <c r="B158" s="29">
        <v>7.0</v>
      </c>
      <c r="C158" s="29">
        <v>23.0</v>
      </c>
      <c r="D158" s="29">
        <v>77.0</v>
      </c>
      <c r="E158" s="30" t="str">
        <f t="shared" si="1"/>
        <v>11</v>
      </c>
      <c r="F158" s="31" t="str">
        <f t="shared" si="2"/>
        <v>2016-11-07</v>
      </c>
    </row>
    <row r="159" ht="15.75" customHeight="1">
      <c r="A159" s="28" t="s">
        <v>194</v>
      </c>
      <c r="B159" s="29">
        <v>22.0</v>
      </c>
      <c r="C159" s="29">
        <v>28.0</v>
      </c>
      <c r="D159" s="29">
        <v>56.0</v>
      </c>
      <c r="E159" s="30" t="str">
        <f t="shared" si="1"/>
        <v>10</v>
      </c>
      <c r="F159" s="31" t="str">
        <f t="shared" si="2"/>
        <v>2016-11-07</v>
      </c>
    </row>
    <row r="160" ht="15.75" customHeight="1">
      <c r="A160" s="28" t="s">
        <v>195</v>
      </c>
      <c r="B160" s="29">
        <v>35.0</v>
      </c>
      <c r="C160" s="29">
        <v>49.0</v>
      </c>
      <c r="D160" s="29">
        <v>58.0</v>
      </c>
      <c r="E160" s="30" t="str">
        <f t="shared" si="1"/>
        <v>09</v>
      </c>
      <c r="F160" s="31" t="str">
        <f t="shared" si="2"/>
        <v>2016-11-07</v>
      </c>
    </row>
    <row r="161" ht="15.75" customHeight="1">
      <c r="A161" s="28" t="s">
        <v>196</v>
      </c>
      <c r="B161" s="29">
        <v>28.0</v>
      </c>
      <c r="C161" s="29">
        <v>32.0</v>
      </c>
      <c r="D161" s="29">
        <v>53.0</v>
      </c>
      <c r="E161" s="30" t="str">
        <f t="shared" si="1"/>
        <v>08</v>
      </c>
      <c r="F161" s="31" t="str">
        <f t="shared" si="2"/>
        <v>2016-11-07</v>
      </c>
    </row>
    <row r="162" ht="15.75" customHeight="1">
      <c r="A162" s="28" t="s">
        <v>197</v>
      </c>
      <c r="B162" s="29">
        <v>14.0</v>
      </c>
      <c r="C162" s="29">
        <v>18.0</v>
      </c>
      <c r="D162" s="29">
        <v>56.0</v>
      </c>
      <c r="E162" s="30" t="str">
        <f t="shared" si="1"/>
        <v>07</v>
      </c>
      <c r="F162" s="31" t="str">
        <f t="shared" si="2"/>
        <v>2016-11-07</v>
      </c>
    </row>
    <row r="163" ht="15.75" customHeight="1">
      <c r="A163" s="28" t="s">
        <v>198</v>
      </c>
      <c r="B163" s="29">
        <v>7.0</v>
      </c>
      <c r="C163" s="29">
        <v>4.0</v>
      </c>
      <c r="D163" s="29">
        <v>36.0</v>
      </c>
      <c r="E163" s="30" t="str">
        <f t="shared" si="1"/>
        <v>06</v>
      </c>
      <c r="F163" s="31" t="str">
        <f t="shared" si="2"/>
        <v>2016-11-07</v>
      </c>
    </row>
    <row r="164" ht="15.75" customHeight="1">
      <c r="A164" s="28" t="s">
        <v>199</v>
      </c>
      <c r="B164" s="29">
        <v>3.0</v>
      </c>
      <c r="C164" s="29">
        <v>3.0</v>
      </c>
      <c r="D164" s="29">
        <v>50.0</v>
      </c>
      <c r="E164" s="30" t="str">
        <f t="shared" si="1"/>
        <v>05</v>
      </c>
      <c r="F164" s="31" t="str">
        <f t="shared" si="2"/>
        <v>2016-11-07</v>
      </c>
    </row>
    <row r="165" ht="15.75" customHeight="1">
      <c r="A165" s="28" t="s">
        <v>200</v>
      </c>
      <c r="B165" s="29">
        <v>2.0</v>
      </c>
      <c r="C165" s="29">
        <v>2.0</v>
      </c>
      <c r="D165" s="29">
        <v>50.0</v>
      </c>
      <c r="E165" s="30" t="str">
        <f t="shared" si="1"/>
        <v>04</v>
      </c>
      <c r="F165" s="31" t="str">
        <f t="shared" si="2"/>
        <v>2016-11-07</v>
      </c>
    </row>
    <row r="166" ht="15.75" customHeight="1">
      <c r="A166" s="28" t="s">
        <v>201</v>
      </c>
      <c r="B166" s="29">
        <v>2.0</v>
      </c>
      <c r="C166" s="29">
        <v>0.0</v>
      </c>
      <c r="D166" s="29">
        <v>0.0</v>
      </c>
      <c r="E166" s="30" t="str">
        <f t="shared" si="1"/>
        <v>03</v>
      </c>
      <c r="F166" s="31" t="str">
        <f t="shared" si="2"/>
        <v>2016-11-07</v>
      </c>
    </row>
    <row r="167" ht="15.75" customHeight="1">
      <c r="A167" s="28" t="s">
        <v>202</v>
      </c>
      <c r="B167" s="29">
        <v>2.0</v>
      </c>
      <c r="C167" s="29">
        <v>2.0</v>
      </c>
      <c r="D167" s="29">
        <v>50.0</v>
      </c>
      <c r="E167" s="30" t="str">
        <f t="shared" si="1"/>
        <v>02</v>
      </c>
      <c r="F167" s="31" t="str">
        <f t="shared" si="2"/>
        <v>2016-11-07</v>
      </c>
    </row>
    <row r="168" ht="15.75" customHeight="1">
      <c r="A168" s="28" t="s">
        <v>203</v>
      </c>
      <c r="B168" s="29">
        <v>4.0</v>
      </c>
      <c r="C168" s="29">
        <v>13.0</v>
      </c>
      <c r="D168" s="29">
        <v>76.0</v>
      </c>
      <c r="E168" s="30" t="str">
        <f t="shared" si="1"/>
        <v>01</v>
      </c>
      <c r="F168" s="31" t="str">
        <f t="shared" si="2"/>
        <v>2016-11-07</v>
      </c>
    </row>
    <row r="169" ht="15.75" customHeight="1">
      <c r="A169" s="28" t="s">
        <v>204</v>
      </c>
      <c r="B169" s="29">
        <v>5.0</v>
      </c>
      <c r="C169" s="29">
        <v>21.0</v>
      </c>
      <c r="D169" s="29">
        <v>81.0</v>
      </c>
      <c r="E169" s="30" t="str">
        <f t="shared" si="1"/>
        <v>00</v>
      </c>
      <c r="F169" s="31" t="str">
        <f t="shared" si="2"/>
        <v>2016-11-07</v>
      </c>
    </row>
    <row r="170" ht="15.75" customHeight="1">
      <c r="B170" s="32">
        <f t="shared" ref="B170:C170" si="3">SUM(B2:B169)</f>
        <v>1858</v>
      </c>
      <c r="C170" s="32">
        <f t="shared" si="3"/>
        <v>5189</v>
      </c>
      <c r="E170" s="30"/>
      <c r="F170" s="31"/>
    </row>
    <row r="171" ht="15.75" customHeight="1">
      <c r="C171" s="32">
        <f>SUM(B170:C170)</f>
        <v>7047</v>
      </c>
      <c r="E171" s="30"/>
      <c r="F171" s="31"/>
    </row>
    <row r="172" ht="15.75" customHeight="1">
      <c r="E172" s="30"/>
      <c r="F172" s="31"/>
    </row>
    <row r="173" ht="15.75" customHeight="1">
      <c r="E173" s="30"/>
      <c r="F173" s="31"/>
    </row>
    <row r="174" ht="15.75" customHeight="1">
      <c r="E174" s="30"/>
      <c r="F174" s="31"/>
    </row>
    <row r="175" ht="15.75" customHeight="1">
      <c r="E175" s="30"/>
      <c r="F175" s="31"/>
    </row>
    <row r="176" ht="15.75" customHeight="1">
      <c r="E176" s="30"/>
      <c r="F176" s="31"/>
    </row>
    <row r="177" ht="15.75" customHeight="1">
      <c r="E177" s="30"/>
      <c r="F177" s="31"/>
    </row>
    <row r="178" ht="15.75" customHeight="1">
      <c r="E178" s="30"/>
      <c r="F178" s="31"/>
    </row>
    <row r="179" ht="15.75" customHeight="1">
      <c r="E179" s="30"/>
      <c r="F179" s="31"/>
    </row>
    <row r="180" ht="15.75" customHeight="1">
      <c r="E180" s="30"/>
      <c r="F180" s="31"/>
    </row>
    <row r="181" ht="15.75" customHeight="1">
      <c r="E181" s="30"/>
      <c r="F181" s="31"/>
    </row>
    <row r="182" ht="15.75" customHeight="1">
      <c r="E182" s="30"/>
      <c r="F182" s="31"/>
    </row>
    <row r="183" ht="15.75" customHeight="1">
      <c r="E183" s="30"/>
      <c r="F183" s="31"/>
    </row>
    <row r="184" ht="15.75" customHeight="1">
      <c r="E184" s="30"/>
      <c r="F184" s="31"/>
    </row>
    <row r="185" ht="15.75" customHeight="1">
      <c r="E185" s="30"/>
      <c r="F185" s="31"/>
    </row>
    <row r="186" ht="15.75" customHeight="1">
      <c r="E186" s="30"/>
      <c r="F186" s="31"/>
    </row>
    <row r="187" ht="15.75" customHeight="1">
      <c r="E187" s="30"/>
      <c r="F187" s="31"/>
    </row>
    <row r="188" ht="15.75" customHeight="1">
      <c r="E188" s="30"/>
      <c r="F188" s="31"/>
    </row>
    <row r="189" ht="15.75" customHeight="1">
      <c r="E189" s="30"/>
      <c r="F189" s="31"/>
    </row>
    <row r="190" ht="15.75" customHeight="1">
      <c r="E190" s="30"/>
      <c r="F190" s="31"/>
    </row>
    <row r="191" ht="15.75" customHeight="1">
      <c r="E191" s="30"/>
      <c r="F191" s="31"/>
    </row>
    <row r="192" ht="15.75" customHeight="1">
      <c r="E192" s="30"/>
      <c r="F192" s="31"/>
    </row>
    <row r="193" ht="15.75" customHeight="1">
      <c r="E193" s="30"/>
      <c r="F193" s="31"/>
    </row>
    <row r="194" ht="15.75" customHeight="1">
      <c r="E194" s="30"/>
      <c r="F194" s="31"/>
    </row>
    <row r="195" ht="15.75" customHeight="1">
      <c r="E195" s="30"/>
      <c r="F195" s="31"/>
    </row>
    <row r="196" ht="15.75" customHeight="1">
      <c r="E196" s="30"/>
      <c r="F196" s="31"/>
    </row>
    <row r="197" ht="15.75" customHeight="1">
      <c r="E197" s="30"/>
      <c r="F197" s="31"/>
    </row>
    <row r="198" ht="15.75" customHeight="1">
      <c r="E198" s="30"/>
      <c r="F198" s="31"/>
    </row>
    <row r="199" ht="15.75" customHeight="1">
      <c r="E199" s="30"/>
      <c r="F199" s="31"/>
    </row>
    <row r="200" ht="15.75" customHeight="1">
      <c r="E200" s="30"/>
      <c r="F200" s="31"/>
    </row>
    <row r="201" ht="15.75" customHeight="1">
      <c r="E201" s="30"/>
      <c r="F201" s="31"/>
    </row>
    <row r="202" ht="15.75" customHeight="1">
      <c r="E202" s="30"/>
      <c r="F202" s="31"/>
    </row>
    <row r="203" ht="15.75" customHeight="1">
      <c r="E203" s="30"/>
      <c r="F203" s="31"/>
    </row>
    <row r="204" ht="15.75" customHeight="1">
      <c r="E204" s="30"/>
      <c r="F204" s="31"/>
    </row>
    <row r="205" ht="15.75" customHeight="1">
      <c r="E205" s="30"/>
      <c r="F205" s="31"/>
    </row>
    <row r="206" ht="15.75" customHeight="1">
      <c r="E206" s="30"/>
      <c r="F206" s="31"/>
    </row>
    <row r="207" ht="15.75" customHeight="1">
      <c r="E207" s="30"/>
      <c r="F207" s="31"/>
    </row>
    <row r="208" ht="15.75" customHeight="1">
      <c r="E208" s="30"/>
      <c r="F208" s="31"/>
    </row>
    <row r="209" ht="15.75" customHeight="1">
      <c r="E209" s="30"/>
      <c r="F209" s="31"/>
    </row>
    <row r="210" ht="15.75" customHeight="1">
      <c r="E210" s="30"/>
      <c r="F210" s="31"/>
    </row>
    <row r="211" ht="15.75" customHeight="1">
      <c r="E211" s="30"/>
      <c r="F211" s="31"/>
    </row>
    <row r="212" ht="15.75" customHeight="1">
      <c r="E212" s="30"/>
      <c r="F212" s="31"/>
    </row>
    <row r="213" ht="15.75" customHeight="1">
      <c r="E213" s="30"/>
      <c r="F213" s="31"/>
    </row>
    <row r="214" ht="15.75" customHeight="1">
      <c r="E214" s="30"/>
      <c r="F214" s="31"/>
    </row>
    <row r="215" ht="15.75" customHeight="1">
      <c r="E215" s="30"/>
      <c r="F215" s="31"/>
    </row>
    <row r="216" ht="15.75" customHeight="1">
      <c r="E216" s="30"/>
      <c r="F216" s="31"/>
    </row>
    <row r="217" ht="15.75" customHeight="1">
      <c r="E217" s="30"/>
      <c r="F217" s="31"/>
    </row>
    <row r="218" ht="15.75" customHeight="1">
      <c r="E218" s="30"/>
      <c r="F218" s="31"/>
    </row>
    <row r="219" ht="15.75" customHeight="1">
      <c r="E219" s="30"/>
      <c r="F219" s="31"/>
    </row>
    <row r="220" ht="15.75" customHeight="1">
      <c r="E220" s="30"/>
      <c r="F220" s="31"/>
    </row>
    <row r="221" ht="15.75" customHeight="1">
      <c r="E221" s="30"/>
      <c r="F221" s="31"/>
    </row>
    <row r="222" ht="15.75" customHeight="1">
      <c r="E222" s="30"/>
      <c r="F222" s="31"/>
    </row>
    <row r="223" ht="15.75" customHeight="1">
      <c r="E223" s="30"/>
      <c r="F223" s="31"/>
    </row>
    <row r="224" ht="15.75" customHeight="1">
      <c r="E224" s="30"/>
      <c r="F224" s="31"/>
    </row>
    <row r="225" ht="15.75" customHeight="1">
      <c r="E225" s="30"/>
      <c r="F225" s="31"/>
    </row>
    <row r="226" ht="15.75" customHeight="1">
      <c r="E226" s="30"/>
      <c r="F226" s="31"/>
    </row>
    <row r="227" ht="15.75" customHeight="1">
      <c r="E227" s="30"/>
      <c r="F227" s="31"/>
    </row>
    <row r="228" ht="15.75" customHeight="1">
      <c r="E228" s="30"/>
      <c r="F228" s="31"/>
    </row>
    <row r="229" ht="15.75" customHeight="1">
      <c r="E229" s="30"/>
      <c r="F229" s="31"/>
    </row>
    <row r="230" ht="15.75" customHeight="1">
      <c r="E230" s="30"/>
      <c r="F230" s="31"/>
    </row>
    <row r="231" ht="15.75" customHeight="1">
      <c r="E231" s="30"/>
      <c r="F231" s="31"/>
    </row>
    <row r="232" ht="15.75" customHeight="1">
      <c r="E232" s="30"/>
      <c r="F232" s="31"/>
    </row>
    <row r="233" ht="15.75" customHeight="1">
      <c r="E233" s="30"/>
      <c r="F233" s="31"/>
    </row>
    <row r="234" ht="15.75" customHeight="1">
      <c r="E234" s="30"/>
      <c r="F234" s="31"/>
    </row>
    <row r="235" ht="15.75" customHeight="1">
      <c r="E235" s="30"/>
      <c r="F235" s="31"/>
    </row>
    <row r="236" ht="15.75" customHeight="1">
      <c r="E236" s="30"/>
      <c r="F236" s="31"/>
    </row>
    <row r="237" ht="15.75" customHeight="1">
      <c r="E237" s="30"/>
      <c r="F237" s="31"/>
    </row>
    <row r="238" ht="15.75" customHeight="1">
      <c r="E238" s="30"/>
      <c r="F238" s="31"/>
    </row>
    <row r="239" ht="15.75" customHeight="1">
      <c r="E239" s="30"/>
      <c r="F239" s="31"/>
    </row>
    <row r="240" ht="15.75" customHeight="1">
      <c r="E240" s="30"/>
      <c r="F240" s="31"/>
    </row>
    <row r="241" ht="15.75" customHeight="1">
      <c r="E241" s="30"/>
      <c r="F241" s="31"/>
    </row>
    <row r="242" ht="15.75" customHeight="1">
      <c r="E242" s="30"/>
      <c r="F242" s="31"/>
    </row>
    <row r="243" ht="15.75" customHeight="1">
      <c r="E243" s="30"/>
      <c r="F243" s="31"/>
    </row>
    <row r="244" ht="15.75" customHeight="1">
      <c r="E244" s="30"/>
      <c r="F244" s="31"/>
    </row>
    <row r="245" ht="15.75" customHeight="1">
      <c r="E245" s="30"/>
      <c r="F245" s="31"/>
    </row>
    <row r="246" ht="15.75" customHeight="1">
      <c r="E246" s="30"/>
      <c r="F246" s="31"/>
    </row>
    <row r="247" ht="15.75" customHeight="1">
      <c r="E247" s="30"/>
      <c r="F247" s="31"/>
    </row>
    <row r="248" ht="15.75" customHeight="1">
      <c r="E248" s="30"/>
      <c r="F248" s="31"/>
    </row>
    <row r="249" ht="15.75" customHeight="1">
      <c r="E249" s="30"/>
      <c r="F249" s="31"/>
    </row>
    <row r="250" ht="15.75" customHeight="1">
      <c r="E250" s="30"/>
      <c r="F250" s="31"/>
    </row>
    <row r="251" ht="15.75" customHeight="1">
      <c r="E251" s="30"/>
      <c r="F251" s="31"/>
    </row>
    <row r="252" ht="15.75" customHeight="1">
      <c r="E252" s="30"/>
      <c r="F252" s="31"/>
    </row>
    <row r="253" ht="15.75" customHeight="1">
      <c r="E253" s="30"/>
      <c r="F253" s="31"/>
    </row>
    <row r="254" ht="15.75" customHeight="1">
      <c r="E254" s="30"/>
      <c r="F254" s="31"/>
    </row>
    <row r="255" ht="15.75" customHeight="1">
      <c r="E255" s="30"/>
      <c r="F255" s="31"/>
    </row>
    <row r="256" ht="15.75" customHeight="1">
      <c r="E256" s="30"/>
      <c r="F256" s="31"/>
    </row>
    <row r="257" ht="15.75" customHeight="1">
      <c r="E257" s="30"/>
      <c r="F257" s="31"/>
    </row>
    <row r="258" ht="15.75" customHeight="1">
      <c r="E258" s="30"/>
      <c r="F258" s="31"/>
    </row>
    <row r="259" ht="15.75" customHeight="1">
      <c r="E259" s="30"/>
      <c r="F259" s="31"/>
    </row>
    <row r="260" ht="15.75" customHeight="1">
      <c r="E260" s="30"/>
      <c r="F260" s="31"/>
    </row>
    <row r="261" ht="15.75" customHeight="1">
      <c r="E261" s="30"/>
      <c r="F261" s="31"/>
    </row>
    <row r="262" ht="15.75" customHeight="1">
      <c r="E262" s="30"/>
      <c r="F262" s="31"/>
    </row>
    <row r="263" ht="15.75" customHeight="1">
      <c r="E263" s="30"/>
      <c r="F263" s="31"/>
    </row>
    <row r="264" ht="15.75" customHeight="1">
      <c r="E264" s="30"/>
      <c r="F264" s="31"/>
    </row>
    <row r="265" ht="15.75" customHeight="1">
      <c r="E265" s="30"/>
      <c r="F265" s="31"/>
    </row>
    <row r="266" ht="15.75" customHeight="1">
      <c r="E266" s="30"/>
      <c r="F266" s="31"/>
    </row>
    <row r="267" ht="15.75" customHeight="1">
      <c r="E267" s="30"/>
      <c r="F267" s="31"/>
    </row>
    <row r="268" ht="15.75" customHeight="1">
      <c r="E268" s="30"/>
      <c r="F268" s="31"/>
    </row>
    <row r="269" ht="15.75" customHeight="1">
      <c r="E269" s="30"/>
      <c r="F269" s="31"/>
    </row>
    <row r="270" ht="15.75" customHeight="1">
      <c r="E270" s="30"/>
      <c r="F270" s="31"/>
    </row>
    <row r="271" ht="15.75" customHeight="1">
      <c r="E271" s="30"/>
      <c r="F271" s="31"/>
    </row>
    <row r="272" ht="15.75" customHeight="1">
      <c r="E272" s="30"/>
      <c r="F272" s="31"/>
    </row>
    <row r="273" ht="15.75" customHeight="1">
      <c r="E273" s="30"/>
      <c r="F273" s="31"/>
    </row>
    <row r="274" ht="15.75" customHeight="1">
      <c r="E274" s="30"/>
      <c r="F274" s="31"/>
    </row>
    <row r="275" ht="15.75" customHeight="1">
      <c r="E275" s="30"/>
      <c r="F275" s="31"/>
    </row>
    <row r="276" ht="15.75" customHeight="1">
      <c r="E276" s="30"/>
      <c r="F276" s="31"/>
    </row>
    <row r="277" ht="15.75" customHeight="1">
      <c r="E277" s="30"/>
      <c r="F277" s="31"/>
    </row>
    <row r="278" ht="15.75" customHeight="1">
      <c r="E278" s="30"/>
      <c r="F278" s="31"/>
    </row>
    <row r="279" ht="15.75" customHeight="1">
      <c r="E279" s="30"/>
      <c r="F279" s="31"/>
    </row>
    <row r="280" ht="15.75" customHeight="1">
      <c r="E280" s="30"/>
      <c r="F280" s="31"/>
    </row>
    <row r="281" ht="15.75" customHeight="1">
      <c r="E281" s="30"/>
      <c r="F281" s="31"/>
    </row>
    <row r="282" ht="15.75" customHeight="1">
      <c r="E282" s="30"/>
      <c r="F282" s="31"/>
    </row>
    <row r="283" ht="15.75" customHeight="1">
      <c r="E283" s="30"/>
      <c r="F283" s="31"/>
    </row>
    <row r="284" ht="15.75" customHeight="1">
      <c r="E284" s="30"/>
      <c r="F284" s="31"/>
    </row>
    <row r="285" ht="15.75" customHeight="1">
      <c r="E285" s="30"/>
      <c r="F285" s="31"/>
    </row>
    <row r="286" ht="15.75" customHeight="1">
      <c r="E286" s="30"/>
      <c r="F286" s="31"/>
    </row>
    <row r="287" ht="15.75" customHeight="1">
      <c r="E287" s="30"/>
      <c r="F287" s="31"/>
    </row>
    <row r="288" ht="15.75" customHeight="1">
      <c r="E288" s="30"/>
      <c r="F288" s="31"/>
    </row>
    <row r="289" ht="15.75" customHeight="1">
      <c r="E289" s="30"/>
      <c r="F289" s="31"/>
    </row>
    <row r="290" ht="15.75" customHeight="1">
      <c r="E290" s="30"/>
      <c r="F290" s="31"/>
    </row>
    <row r="291" ht="15.75" customHeight="1">
      <c r="E291" s="30"/>
      <c r="F291" s="31"/>
    </row>
    <row r="292" ht="15.75" customHeight="1">
      <c r="E292" s="30"/>
      <c r="F292" s="31"/>
    </row>
    <row r="293" ht="15.75" customHeight="1">
      <c r="E293" s="30"/>
      <c r="F293" s="31"/>
    </row>
    <row r="294" ht="15.75" customHeight="1">
      <c r="E294" s="30"/>
      <c r="F294" s="31"/>
    </row>
    <row r="295" ht="15.75" customHeight="1">
      <c r="E295" s="30"/>
      <c r="F295" s="31"/>
    </row>
    <row r="296" ht="15.75" customHeight="1">
      <c r="E296" s="30"/>
      <c r="F296" s="31"/>
    </row>
    <row r="297" ht="15.75" customHeight="1">
      <c r="E297" s="30"/>
      <c r="F297" s="31"/>
    </row>
    <row r="298" ht="15.75" customHeight="1">
      <c r="E298" s="30"/>
      <c r="F298" s="31"/>
    </row>
    <row r="299" ht="15.75" customHeight="1">
      <c r="E299" s="30"/>
      <c r="F299" s="31"/>
    </row>
    <row r="300" ht="15.75" customHeight="1">
      <c r="E300" s="30"/>
      <c r="F300" s="31"/>
    </row>
    <row r="301" ht="15.75" customHeight="1">
      <c r="E301" s="30"/>
      <c r="F301" s="31"/>
    </row>
    <row r="302" ht="15.75" customHeight="1">
      <c r="E302" s="30"/>
      <c r="F302" s="31"/>
    </row>
    <row r="303" ht="15.75" customHeight="1">
      <c r="E303" s="30"/>
      <c r="F303" s="31"/>
    </row>
    <row r="304" ht="15.75" customHeight="1">
      <c r="E304" s="30"/>
      <c r="F304" s="31"/>
    </row>
    <row r="305" ht="15.75" customHeight="1">
      <c r="E305" s="30"/>
      <c r="F305" s="31"/>
    </row>
    <row r="306" ht="15.75" customHeight="1">
      <c r="E306" s="30"/>
      <c r="F306" s="31"/>
    </row>
    <row r="307" ht="15.75" customHeight="1">
      <c r="E307" s="30"/>
      <c r="F307" s="31"/>
    </row>
    <row r="308" ht="15.75" customHeight="1">
      <c r="E308" s="30"/>
      <c r="F308" s="31"/>
    </row>
    <row r="309" ht="15.75" customHeight="1">
      <c r="E309" s="30"/>
      <c r="F309" s="31"/>
    </row>
    <row r="310" ht="15.75" customHeight="1">
      <c r="E310" s="30"/>
      <c r="F310" s="31"/>
    </row>
    <row r="311" ht="15.75" customHeight="1">
      <c r="E311" s="30"/>
      <c r="F311" s="31"/>
    </row>
    <row r="312" ht="15.75" customHeight="1">
      <c r="E312" s="30"/>
      <c r="F312" s="31"/>
    </row>
    <row r="313" ht="15.75" customHeight="1">
      <c r="E313" s="30"/>
      <c r="F313" s="31"/>
    </row>
    <row r="314" ht="15.75" customHeight="1">
      <c r="E314" s="30"/>
      <c r="F314" s="31"/>
    </row>
    <row r="315" ht="15.75" customHeight="1">
      <c r="E315" s="30"/>
      <c r="F315" s="31"/>
    </row>
    <row r="316" ht="15.75" customHeight="1">
      <c r="E316" s="30"/>
      <c r="F316" s="31"/>
    </row>
    <row r="317" ht="15.75" customHeight="1">
      <c r="E317" s="30"/>
      <c r="F317" s="31"/>
    </row>
    <row r="318" ht="15.75" customHeight="1">
      <c r="E318" s="30"/>
      <c r="F318" s="31"/>
    </row>
    <row r="319" ht="15.75" customHeight="1">
      <c r="E319" s="30"/>
      <c r="F319" s="31"/>
    </row>
    <row r="320" ht="15.75" customHeight="1">
      <c r="E320" s="30"/>
      <c r="F320" s="31"/>
    </row>
    <row r="321" ht="15.75" customHeight="1">
      <c r="E321" s="30"/>
      <c r="F321" s="31"/>
    </row>
    <row r="322" ht="15.75" customHeight="1">
      <c r="E322" s="30"/>
      <c r="F322" s="31"/>
    </row>
    <row r="323" ht="15.75" customHeight="1">
      <c r="E323" s="30"/>
      <c r="F323" s="31"/>
    </row>
    <row r="324" ht="15.75" customHeight="1">
      <c r="E324" s="30"/>
      <c r="F324" s="31"/>
    </row>
    <row r="325" ht="15.75" customHeight="1">
      <c r="E325" s="30"/>
      <c r="F325" s="31"/>
    </row>
    <row r="326" ht="15.75" customHeight="1">
      <c r="E326" s="30"/>
      <c r="F326" s="31"/>
    </row>
    <row r="327" ht="15.75" customHeight="1">
      <c r="E327" s="30"/>
      <c r="F327" s="31"/>
    </row>
    <row r="328" ht="15.75" customHeight="1">
      <c r="E328" s="30"/>
      <c r="F328" s="31"/>
    </row>
    <row r="329" ht="15.75" customHeight="1">
      <c r="E329" s="30"/>
      <c r="F329" s="31"/>
    </row>
    <row r="330" ht="15.75" customHeight="1">
      <c r="E330" s="30"/>
      <c r="F330" s="31"/>
    </row>
    <row r="331" ht="15.75" customHeight="1">
      <c r="E331" s="30"/>
      <c r="F331" s="31"/>
    </row>
    <row r="332" ht="15.75" customHeight="1">
      <c r="E332" s="30"/>
      <c r="F332" s="31"/>
    </row>
    <row r="333" ht="15.75" customHeight="1">
      <c r="E333" s="30"/>
      <c r="F333" s="31"/>
    </row>
    <row r="334" ht="15.75" customHeight="1">
      <c r="E334" s="30"/>
      <c r="F334" s="31"/>
    </row>
    <row r="335" ht="15.75" customHeight="1">
      <c r="E335" s="30"/>
      <c r="F335" s="31"/>
    </row>
    <row r="336" ht="15.75" customHeight="1">
      <c r="E336" s="30"/>
      <c r="F336" s="31"/>
    </row>
    <row r="337" ht="15.75" customHeight="1">
      <c r="E337" s="30"/>
      <c r="F337" s="31"/>
    </row>
    <row r="338" ht="15.75" customHeight="1">
      <c r="E338" s="30"/>
      <c r="F338" s="31"/>
    </row>
    <row r="339" ht="15.75" customHeight="1">
      <c r="E339" s="30"/>
      <c r="F339" s="31"/>
    </row>
    <row r="340" ht="15.75" customHeight="1">
      <c r="E340" s="30"/>
      <c r="F340" s="31"/>
    </row>
    <row r="341" ht="15.75" customHeight="1">
      <c r="E341" s="30"/>
      <c r="F341" s="31"/>
    </row>
    <row r="342" ht="15.75" customHeight="1">
      <c r="E342" s="30"/>
      <c r="F342" s="31"/>
    </row>
    <row r="343" ht="15.75" customHeight="1">
      <c r="E343" s="30"/>
      <c r="F343" s="31"/>
    </row>
    <row r="344" ht="15.75" customHeight="1">
      <c r="E344" s="30"/>
      <c r="F344" s="31"/>
    </row>
    <row r="345" ht="15.75" customHeight="1">
      <c r="E345" s="30"/>
      <c r="F345" s="31"/>
    </row>
    <row r="346" ht="15.75" customHeight="1">
      <c r="E346" s="30"/>
      <c r="F346" s="31"/>
    </row>
    <row r="347" ht="15.75" customHeight="1">
      <c r="E347" s="30"/>
      <c r="F347" s="31"/>
    </row>
    <row r="348" ht="15.75" customHeight="1">
      <c r="E348" s="30"/>
      <c r="F348" s="31"/>
    </row>
    <row r="349" ht="15.75" customHeight="1">
      <c r="E349" s="30"/>
      <c r="F349" s="31"/>
    </row>
    <row r="350" ht="15.75" customHeight="1">
      <c r="E350" s="30"/>
      <c r="F350" s="31"/>
    </row>
    <row r="351" ht="15.75" customHeight="1">
      <c r="E351" s="30"/>
      <c r="F351" s="31"/>
    </row>
    <row r="352" ht="15.75" customHeight="1">
      <c r="E352" s="30"/>
      <c r="F352" s="31"/>
    </row>
    <row r="353" ht="15.75" customHeight="1">
      <c r="E353" s="30"/>
      <c r="F353" s="31"/>
    </row>
    <row r="354" ht="15.75" customHeight="1">
      <c r="E354" s="30"/>
      <c r="F354" s="31"/>
    </row>
    <row r="355" ht="15.75" customHeight="1">
      <c r="E355" s="30"/>
      <c r="F355" s="31"/>
    </row>
    <row r="356" ht="15.75" customHeight="1">
      <c r="E356" s="30"/>
      <c r="F356" s="31"/>
    </row>
    <row r="357" ht="15.75" customHeight="1">
      <c r="E357" s="30"/>
      <c r="F357" s="31"/>
    </row>
    <row r="358" ht="15.75" customHeight="1">
      <c r="E358" s="30"/>
      <c r="F358" s="31"/>
    </row>
    <row r="359" ht="15.75" customHeight="1">
      <c r="E359" s="30"/>
      <c r="F359" s="31"/>
    </row>
    <row r="360" ht="15.75" customHeight="1">
      <c r="E360" s="30"/>
      <c r="F360" s="31"/>
    </row>
    <row r="361" ht="15.75" customHeight="1">
      <c r="E361" s="30"/>
      <c r="F361" s="31"/>
    </row>
    <row r="362" ht="15.75" customHeight="1">
      <c r="E362" s="30"/>
      <c r="F362" s="31"/>
    </row>
    <row r="363" ht="15.75" customHeight="1">
      <c r="E363" s="30"/>
      <c r="F363" s="31"/>
    </row>
    <row r="364" ht="15.75" customHeight="1">
      <c r="E364" s="30"/>
      <c r="F364" s="31"/>
    </row>
    <row r="365" ht="15.75" customHeight="1">
      <c r="E365" s="30"/>
      <c r="F365" s="31"/>
    </row>
    <row r="366" ht="15.75" customHeight="1">
      <c r="E366" s="30"/>
      <c r="F366" s="31"/>
    </row>
    <row r="367" ht="15.75" customHeight="1">
      <c r="E367" s="30"/>
      <c r="F367" s="31"/>
    </row>
    <row r="368" ht="15.75" customHeight="1">
      <c r="E368" s="30"/>
      <c r="F368" s="31"/>
    </row>
    <row r="369" ht="15.75" customHeight="1">
      <c r="E369" s="30"/>
      <c r="F369" s="31"/>
    </row>
    <row r="370" ht="15.75" customHeight="1">
      <c r="E370" s="30"/>
      <c r="F370" s="31"/>
    </row>
    <row r="371" ht="15.75" customHeight="1">
      <c r="E371" s="30"/>
      <c r="F371" s="31"/>
    </row>
    <row r="372" ht="15.75" customHeight="1">
      <c r="E372" s="30"/>
      <c r="F372" s="31"/>
    </row>
    <row r="373" ht="15.75" customHeight="1">
      <c r="E373" s="30"/>
      <c r="F373" s="31"/>
    </row>
    <row r="374" ht="15.75" customHeight="1">
      <c r="E374" s="30"/>
      <c r="F374" s="31"/>
    </row>
    <row r="375" ht="15.75" customHeight="1">
      <c r="E375" s="30"/>
      <c r="F375" s="31"/>
    </row>
    <row r="376" ht="15.75" customHeight="1">
      <c r="E376" s="30"/>
      <c r="F376" s="31"/>
    </row>
    <row r="377" ht="15.75" customHeight="1">
      <c r="E377" s="30"/>
      <c r="F377" s="31"/>
    </row>
    <row r="378" ht="15.75" customHeight="1">
      <c r="E378" s="30"/>
      <c r="F378" s="31"/>
    </row>
    <row r="379" ht="15.75" customHeight="1">
      <c r="E379" s="30"/>
      <c r="F379" s="31"/>
    </row>
    <row r="380" ht="15.75" customHeight="1">
      <c r="E380" s="30"/>
      <c r="F380" s="31"/>
    </row>
    <row r="381" ht="15.75" customHeight="1">
      <c r="E381" s="30"/>
      <c r="F381" s="31"/>
    </row>
    <row r="382" ht="15.75" customHeight="1">
      <c r="E382" s="30"/>
      <c r="F382" s="31"/>
    </row>
    <row r="383" ht="15.75" customHeight="1">
      <c r="E383" s="30"/>
      <c r="F383" s="31"/>
    </row>
    <row r="384" ht="15.75" customHeight="1">
      <c r="E384" s="30"/>
      <c r="F384" s="31"/>
    </row>
    <row r="385" ht="15.75" customHeight="1">
      <c r="E385" s="30"/>
      <c r="F385" s="31"/>
    </row>
    <row r="386" ht="15.75" customHeight="1">
      <c r="E386" s="30"/>
      <c r="F386" s="31"/>
    </row>
    <row r="387" ht="15.75" customHeight="1">
      <c r="E387" s="30"/>
      <c r="F387" s="31"/>
    </row>
    <row r="388" ht="15.75" customHeight="1">
      <c r="E388" s="30"/>
      <c r="F388" s="31"/>
    </row>
    <row r="389" ht="15.75" customHeight="1">
      <c r="E389" s="30"/>
      <c r="F389" s="31"/>
    </row>
    <row r="390" ht="15.75" customHeight="1">
      <c r="E390" s="30"/>
      <c r="F390" s="31"/>
    </row>
    <row r="391" ht="15.75" customHeight="1">
      <c r="E391" s="30"/>
      <c r="F391" s="31"/>
    </row>
    <row r="392" ht="15.75" customHeight="1">
      <c r="E392" s="30"/>
      <c r="F392" s="31"/>
    </row>
    <row r="393" ht="15.75" customHeight="1">
      <c r="E393" s="30"/>
      <c r="F393" s="31"/>
    </row>
    <row r="394" ht="15.75" customHeight="1">
      <c r="E394" s="30"/>
      <c r="F394" s="31"/>
    </row>
    <row r="395" ht="15.75" customHeight="1">
      <c r="E395" s="30"/>
      <c r="F395" s="31"/>
    </row>
    <row r="396" ht="15.75" customHeight="1">
      <c r="E396" s="30"/>
      <c r="F396" s="31"/>
    </row>
    <row r="397" ht="15.75" customHeight="1">
      <c r="E397" s="30"/>
      <c r="F397" s="31"/>
    </row>
    <row r="398" ht="15.75" customHeight="1">
      <c r="E398" s="30"/>
      <c r="F398" s="31"/>
    </row>
    <row r="399" ht="15.75" customHeight="1">
      <c r="E399" s="30"/>
      <c r="F399" s="31"/>
    </row>
    <row r="400" ht="15.75" customHeight="1">
      <c r="E400" s="30"/>
      <c r="F400" s="31"/>
    </row>
    <row r="401" ht="15.75" customHeight="1">
      <c r="E401" s="30"/>
      <c r="F401" s="31"/>
    </row>
    <row r="402" ht="15.75" customHeight="1">
      <c r="E402" s="30"/>
      <c r="F402" s="31"/>
    </row>
    <row r="403" ht="15.75" customHeight="1">
      <c r="E403" s="30"/>
      <c r="F403" s="31"/>
    </row>
    <row r="404" ht="15.75" customHeight="1">
      <c r="E404" s="30"/>
      <c r="F404" s="31"/>
    </row>
    <row r="405" ht="15.75" customHeight="1">
      <c r="E405" s="30"/>
      <c r="F405" s="31"/>
    </row>
    <row r="406" ht="15.75" customHeight="1">
      <c r="E406" s="30"/>
      <c r="F406" s="31"/>
    </row>
    <row r="407" ht="15.75" customHeight="1">
      <c r="E407" s="30"/>
      <c r="F407" s="31"/>
    </row>
    <row r="408" ht="15.75" customHeight="1">
      <c r="E408" s="30"/>
      <c r="F408" s="31"/>
    </row>
    <row r="409" ht="15.75" customHeight="1">
      <c r="E409" s="30"/>
      <c r="F409" s="31"/>
    </row>
    <row r="410" ht="15.75" customHeight="1">
      <c r="E410" s="30"/>
      <c r="F410" s="31"/>
    </row>
    <row r="411" ht="15.75" customHeight="1">
      <c r="E411" s="30"/>
      <c r="F411" s="31"/>
    </row>
    <row r="412" ht="15.75" customHeight="1">
      <c r="E412" s="30"/>
      <c r="F412" s="31"/>
    </row>
    <row r="413" ht="15.75" customHeight="1">
      <c r="E413" s="30"/>
      <c r="F413" s="31"/>
    </row>
    <row r="414" ht="15.75" customHeight="1">
      <c r="E414" s="30"/>
      <c r="F414" s="31"/>
    </row>
    <row r="415" ht="15.75" customHeight="1">
      <c r="E415" s="30"/>
      <c r="F415" s="31"/>
    </row>
    <row r="416" ht="15.75" customHeight="1">
      <c r="E416" s="30"/>
      <c r="F416" s="31"/>
    </row>
    <row r="417" ht="15.75" customHeight="1">
      <c r="E417" s="30"/>
      <c r="F417" s="31"/>
    </row>
    <row r="418" ht="15.75" customHeight="1">
      <c r="E418" s="30"/>
      <c r="F418" s="31"/>
    </row>
    <row r="419" ht="15.75" customHeight="1">
      <c r="E419" s="30"/>
      <c r="F419" s="31"/>
    </row>
    <row r="420" ht="15.75" customHeight="1">
      <c r="E420" s="30"/>
      <c r="F420" s="31"/>
    </row>
    <row r="421" ht="15.75" customHeight="1">
      <c r="E421" s="30"/>
      <c r="F421" s="31"/>
    </row>
    <row r="422" ht="15.75" customHeight="1">
      <c r="E422" s="30"/>
      <c r="F422" s="31"/>
    </row>
    <row r="423" ht="15.75" customHeight="1">
      <c r="E423" s="30"/>
      <c r="F423" s="31"/>
    </row>
    <row r="424" ht="15.75" customHeight="1">
      <c r="E424" s="30"/>
      <c r="F424" s="31"/>
    </row>
    <row r="425" ht="15.75" customHeight="1">
      <c r="E425" s="30"/>
      <c r="F425" s="31"/>
    </row>
    <row r="426" ht="15.75" customHeight="1">
      <c r="E426" s="30"/>
      <c r="F426" s="31"/>
    </row>
    <row r="427" ht="15.75" customHeight="1">
      <c r="E427" s="30"/>
      <c r="F427" s="31"/>
    </row>
    <row r="428" ht="15.75" customHeight="1">
      <c r="E428" s="30"/>
      <c r="F428" s="31"/>
    </row>
    <row r="429" ht="15.75" customHeight="1">
      <c r="E429" s="30"/>
      <c r="F429" s="31"/>
    </row>
    <row r="430" ht="15.75" customHeight="1">
      <c r="E430" s="30"/>
      <c r="F430" s="31"/>
    </row>
    <row r="431" ht="15.75" customHeight="1">
      <c r="E431" s="30"/>
      <c r="F431" s="31"/>
    </row>
    <row r="432" ht="15.75" customHeight="1">
      <c r="E432" s="30"/>
      <c r="F432" s="31"/>
    </row>
    <row r="433" ht="15.75" customHeight="1">
      <c r="E433" s="30"/>
      <c r="F433" s="31"/>
    </row>
    <row r="434" ht="15.75" customHeight="1">
      <c r="E434" s="30"/>
      <c r="F434" s="31"/>
    </row>
    <row r="435" ht="15.75" customHeight="1">
      <c r="E435" s="30"/>
      <c r="F435" s="31"/>
    </row>
    <row r="436" ht="15.75" customHeight="1">
      <c r="E436" s="30"/>
      <c r="F436" s="31"/>
    </row>
    <row r="437" ht="15.75" customHeight="1">
      <c r="E437" s="30"/>
      <c r="F437" s="31"/>
    </row>
    <row r="438" ht="15.75" customHeight="1">
      <c r="E438" s="30"/>
      <c r="F438" s="31"/>
    </row>
    <row r="439" ht="15.75" customHeight="1">
      <c r="E439" s="30"/>
      <c r="F439" s="31"/>
    </row>
    <row r="440" ht="15.75" customHeight="1">
      <c r="E440" s="30"/>
      <c r="F440" s="31"/>
    </row>
    <row r="441" ht="15.75" customHeight="1">
      <c r="E441" s="30"/>
      <c r="F441" s="31"/>
    </row>
    <row r="442" ht="15.75" customHeight="1">
      <c r="E442" s="30"/>
      <c r="F442" s="31"/>
    </row>
    <row r="443" ht="15.75" customHeight="1">
      <c r="E443" s="30"/>
      <c r="F443" s="31"/>
    </row>
    <row r="444" ht="15.75" customHeight="1">
      <c r="E444" s="30"/>
      <c r="F444" s="31"/>
    </row>
    <row r="445" ht="15.75" customHeight="1">
      <c r="E445" s="30"/>
      <c r="F445" s="31"/>
    </row>
    <row r="446" ht="15.75" customHeight="1">
      <c r="E446" s="30"/>
      <c r="F446" s="31"/>
    </row>
    <row r="447" ht="15.75" customHeight="1">
      <c r="E447" s="30"/>
      <c r="F447" s="31"/>
    </row>
    <row r="448" ht="15.75" customHeight="1">
      <c r="E448" s="30"/>
      <c r="F448" s="31"/>
    </row>
    <row r="449" ht="15.75" customHeight="1">
      <c r="E449" s="30"/>
      <c r="F449" s="31"/>
    </row>
    <row r="450" ht="15.75" customHeight="1">
      <c r="E450" s="30"/>
      <c r="F450" s="31"/>
    </row>
    <row r="451" ht="15.75" customHeight="1">
      <c r="E451" s="30"/>
      <c r="F451" s="31"/>
    </row>
    <row r="452" ht="15.75" customHeight="1">
      <c r="E452" s="30"/>
      <c r="F452" s="31"/>
    </row>
    <row r="453" ht="15.75" customHeight="1">
      <c r="E453" s="30"/>
      <c r="F453" s="31"/>
    </row>
    <row r="454" ht="15.75" customHeight="1">
      <c r="E454" s="30"/>
      <c r="F454" s="31"/>
    </row>
    <row r="455" ht="15.75" customHeight="1">
      <c r="E455" s="30"/>
      <c r="F455" s="31"/>
    </row>
    <row r="456" ht="15.75" customHeight="1">
      <c r="E456" s="30"/>
      <c r="F456" s="31"/>
    </row>
    <row r="457" ht="15.75" customHeight="1">
      <c r="E457" s="30"/>
      <c r="F457" s="31"/>
    </row>
    <row r="458" ht="15.75" customHeight="1">
      <c r="E458" s="30"/>
      <c r="F458" s="31"/>
    </row>
    <row r="459" ht="15.75" customHeight="1">
      <c r="E459" s="30"/>
      <c r="F459" s="31"/>
    </row>
    <row r="460" ht="15.75" customHeight="1">
      <c r="E460" s="30"/>
      <c r="F460" s="31"/>
    </row>
    <row r="461" ht="15.75" customHeight="1">
      <c r="E461" s="30"/>
      <c r="F461" s="31"/>
    </row>
    <row r="462" ht="15.75" customHeight="1">
      <c r="E462" s="30"/>
      <c r="F462" s="31"/>
    </row>
    <row r="463" ht="15.75" customHeight="1">
      <c r="E463" s="30"/>
      <c r="F463" s="31"/>
    </row>
    <row r="464" ht="15.75" customHeight="1">
      <c r="E464" s="30"/>
      <c r="F464" s="31"/>
    </row>
    <row r="465" ht="15.75" customHeight="1">
      <c r="E465" s="30"/>
      <c r="F465" s="31"/>
    </row>
    <row r="466" ht="15.75" customHeight="1">
      <c r="E466" s="30"/>
      <c r="F466" s="31"/>
    </row>
    <row r="467" ht="15.75" customHeight="1">
      <c r="E467" s="30"/>
      <c r="F467" s="31"/>
    </row>
    <row r="468" ht="15.75" customHeight="1">
      <c r="E468" s="30"/>
      <c r="F468" s="31"/>
    </row>
    <row r="469" ht="15.75" customHeight="1">
      <c r="E469" s="30"/>
      <c r="F469" s="31"/>
    </row>
    <row r="470" ht="15.75" customHeight="1">
      <c r="E470" s="30"/>
      <c r="F470" s="31"/>
    </row>
    <row r="471" ht="15.75" customHeight="1">
      <c r="E471" s="30"/>
      <c r="F471" s="31"/>
    </row>
    <row r="472" ht="15.75" customHeight="1">
      <c r="E472" s="30"/>
      <c r="F472" s="31"/>
    </row>
    <row r="473" ht="15.75" customHeight="1">
      <c r="E473" s="30"/>
      <c r="F473" s="31"/>
    </row>
    <row r="474" ht="15.75" customHeight="1">
      <c r="E474" s="30"/>
      <c r="F474" s="31"/>
    </row>
    <row r="475" ht="15.75" customHeight="1">
      <c r="E475" s="30"/>
      <c r="F475" s="31"/>
    </row>
    <row r="476" ht="15.75" customHeight="1">
      <c r="E476" s="30"/>
      <c r="F476" s="31"/>
    </row>
    <row r="477" ht="15.75" customHeight="1">
      <c r="E477" s="30"/>
      <c r="F477" s="31"/>
    </row>
    <row r="478" ht="15.75" customHeight="1">
      <c r="E478" s="30"/>
      <c r="F478" s="31"/>
    </row>
    <row r="479" ht="15.75" customHeight="1">
      <c r="E479" s="30"/>
      <c r="F479" s="31"/>
    </row>
    <row r="480" ht="15.75" customHeight="1">
      <c r="E480" s="30"/>
      <c r="F480" s="31"/>
    </row>
    <row r="481" ht="15.75" customHeight="1">
      <c r="E481" s="30"/>
      <c r="F481" s="31"/>
    </row>
    <row r="482" ht="15.75" customHeight="1">
      <c r="E482" s="30"/>
      <c r="F482" s="31"/>
    </row>
    <row r="483" ht="15.75" customHeight="1">
      <c r="E483" s="30"/>
      <c r="F483" s="31"/>
    </row>
    <row r="484" ht="15.75" customHeight="1">
      <c r="E484" s="30"/>
      <c r="F484" s="31"/>
    </row>
    <row r="485" ht="15.75" customHeight="1">
      <c r="E485" s="30"/>
      <c r="F485" s="31"/>
    </row>
    <row r="486" ht="15.75" customHeight="1">
      <c r="E486" s="30"/>
      <c r="F486" s="31"/>
    </row>
    <row r="487" ht="15.75" customHeight="1">
      <c r="E487" s="30"/>
      <c r="F487" s="31"/>
    </row>
    <row r="488" ht="15.75" customHeight="1">
      <c r="E488" s="30"/>
      <c r="F488" s="31"/>
    </row>
    <row r="489" ht="15.75" customHeight="1">
      <c r="E489" s="30"/>
      <c r="F489" s="31"/>
    </row>
    <row r="490" ht="15.75" customHeight="1">
      <c r="E490" s="30"/>
      <c r="F490" s="31"/>
    </row>
    <row r="491" ht="15.75" customHeight="1">
      <c r="E491" s="30"/>
      <c r="F491" s="31"/>
    </row>
    <row r="492" ht="15.75" customHeight="1">
      <c r="E492" s="30"/>
      <c r="F492" s="31"/>
    </row>
    <row r="493" ht="15.75" customHeight="1">
      <c r="E493" s="30"/>
      <c r="F493" s="31"/>
    </row>
    <row r="494" ht="15.75" customHeight="1">
      <c r="E494" s="30"/>
      <c r="F494" s="31"/>
    </row>
    <row r="495" ht="15.75" customHeight="1">
      <c r="E495" s="30"/>
      <c r="F495" s="31"/>
    </row>
    <row r="496" ht="15.75" customHeight="1">
      <c r="E496" s="30"/>
      <c r="F496" s="31"/>
    </row>
    <row r="497" ht="15.75" customHeight="1">
      <c r="E497" s="30"/>
      <c r="F497" s="31"/>
    </row>
    <row r="498" ht="15.75" customHeight="1">
      <c r="E498" s="30"/>
      <c r="F498" s="31"/>
    </row>
    <row r="499" ht="15.75" customHeight="1">
      <c r="E499" s="30"/>
      <c r="F499" s="31"/>
    </row>
    <row r="500" ht="15.75" customHeight="1">
      <c r="E500" s="30"/>
      <c r="F500" s="31"/>
    </row>
    <row r="501" ht="15.75" customHeight="1">
      <c r="E501" s="30"/>
      <c r="F501" s="31"/>
    </row>
    <row r="502" ht="15.75" customHeight="1">
      <c r="E502" s="30"/>
      <c r="F502" s="31"/>
    </row>
    <row r="503" ht="15.75" customHeight="1">
      <c r="E503" s="30"/>
      <c r="F503" s="31"/>
    </row>
    <row r="504" ht="15.75" customHeight="1">
      <c r="E504" s="30"/>
      <c r="F504" s="31"/>
    </row>
    <row r="505" ht="15.75" customHeight="1">
      <c r="E505" s="30"/>
      <c r="F505" s="31"/>
    </row>
    <row r="506" ht="15.75" customHeight="1">
      <c r="E506" s="30"/>
      <c r="F506" s="31"/>
    </row>
    <row r="507" ht="15.75" customHeight="1">
      <c r="E507" s="30"/>
      <c r="F507" s="31"/>
    </row>
    <row r="508" ht="15.75" customHeight="1">
      <c r="E508" s="30"/>
      <c r="F508" s="31"/>
    </row>
    <row r="509" ht="15.75" customHeight="1">
      <c r="E509" s="30"/>
      <c r="F509" s="31"/>
    </row>
    <row r="510" ht="15.75" customHeight="1">
      <c r="E510" s="30"/>
      <c r="F510" s="31"/>
    </row>
    <row r="511" ht="15.75" customHeight="1">
      <c r="E511" s="30"/>
      <c r="F511" s="31"/>
    </row>
    <row r="512" ht="15.75" customHeight="1">
      <c r="E512" s="30"/>
      <c r="F512" s="31"/>
    </row>
    <row r="513" ht="15.75" customHeight="1">
      <c r="E513" s="30"/>
      <c r="F513" s="31"/>
    </row>
    <row r="514" ht="15.75" customHeight="1">
      <c r="E514" s="30"/>
      <c r="F514" s="31"/>
    </row>
    <row r="515" ht="15.75" customHeight="1">
      <c r="E515" s="30"/>
      <c r="F515" s="31"/>
    </row>
    <row r="516" ht="15.75" customHeight="1">
      <c r="E516" s="30"/>
      <c r="F516" s="31"/>
    </row>
    <row r="517" ht="15.75" customHeight="1">
      <c r="E517" s="30"/>
      <c r="F517" s="31"/>
    </row>
    <row r="518" ht="15.75" customHeight="1">
      <c r="E518" s="30"/>
      <c r="F518" s="31"/>
    </row>
    <row r="519" ht="15.75" customHeight="1">
      <c r="E519" s="30"/>
      <c r="F519" s="31"/>
    </row>
    <row r="520" ht="15.75" customHeight="1">
      <c r="E520" s="30"/>
      <c r="F520" s="31"/>
    </row>
    <row r="521" ht="15.75" customHeight="1">
      <c r="E521" s="30"/>
      <c r="F521" s="31"/>
    </row>
    <row r="522" ht="15.75" customHeight="1">
      <c r="E522" s="30"/>
      <c r="F522" s="31"/>
    </row>
    <row r="523" ht="15.75" customHeight="1">
      <c r="E523" s="30"/>
      <c r="F523" s="31"/>
    </row>
    <row r="524" ht="15.75" customHeight="1">
      <c r="E524" s="30"/>
      <c r="F524" s="31"/>
    </row>
    <row r="525" ht="15.75" customHeight="1">
      <c r="E525" s="30"/>
      <c r="F525" s="31"/>
    </row>
    <row r="526" ht="15.75" customHeight="1">
      <c r="E526" s="30"/>
      <c r="F526" s="31"/>
    </row>
    <row r="527" ht="15.75" customHeight="1">
      <c r="E527" s="30"/>
      <c r="F527" s="31"/>
    </row>
    <row r="528" ht="15.75" customHeight="1">
      <c r="E528" s="30"/>
      <c r="F528" s="31"/>
    </row>
    <row r="529" ht="15.75" customHeight="1">
      <c r="E529" s="30"/>
      <c r="F529" s="31"/>
    </row>
    <row r="530" ht="15.75" customHeight="1">
      <c r="E530" s="30"/>
      <c r="F530" s="31"/>
    </row>
    <row r="531" ht="15.75" customHeight="1">
      <c r="E531" s="30"/>
      <c r="F531" s="31"/>
    </row>
    <row r="532" ht="15.75" customHeight="1">
      <c r="E532" s="30"/>
      <c r="F532" s="31"/>
    </row>
    <row r="533" ht="15.75" customHeight="1">
      <c r="E533" s="30"/>
      <c r="F533" s="31"/>
    </row>
    <row r="534" ht="15.75" customHeight="1">
      <c r="E534" s="30"/>
      <c r="F534" s="31"/>
    </row>
    <row r="535" ht="15.75" customHeight="1">
      <c r="E535" s="30"/>
      <c r="F535" s="31"/>
    </row>
    <row r="536" ht="15.75" customHeight="1">
      <c r="E536" s="30"/>
      <c r="F536" s="31"/>
    </row>
    <row r="537" ht="15.75" customHeight="1">
      <c r="E537" s="30"/>
      <c r="F537" s="31"/>
    </row>
    <row r="538" ht="15.75" customHeight="1">
      <c r="E538" s="30"/>
      <c r="F538" s="31"/>
    </row>
    <row r="539" ht="15.75" customHeight="1">
      <c r="E539" s="30"/>
      <c r="F539" s="31"/>
    </row>
    <row r="540" ht="15.75" customHeight="1">
      <c r="E540" s="30"/>
      <c r="F540" s="31"/>
    </row>
    <row r="541" ht="15.75" customHeight="1">
      <c r="E541" s="30"/>
      <c r="F541" s="31"/>
    </row>
    <row r="542" ht="15.75" customHeight="1">
      <c r="E542" s="30"/>
      <c r="F542" s="31"/>
    </row>
    <row r="543" ht="15.75" customHeight="1">
      <c r="E543" s="30"/>
      <c r="F543" s="31"/>
    </row>
    <row r="544" ht="15.75" customHeight="1">
      <c r="E544" s="30"/>
      <c r="F544" s="31"/>
    </row>
    <row r="545" ht="15.75" customHeight="1">
      <c r="E545" s="30"/>
      <c r="F545" s="31"/>
    </row>
    <row r="546" ht="15.75" customHeight="1">
      <c r="E546" s="30"/>
      <c r="F546" s="31"/>
    </row>
    <row r="547" ht="15.75" customHeight="1">
      <c r="E547" s="30"/>
      <c r="F547" s="31"/>
    </row>
    <row r="548" ht="15.75" customHeight="1">
      <c r="E548" s="30"/>
      <c r="F548" s="31"/>
    </row>
    <row r="549" ht="15.75" customHeight="1">
      <c r="E549" s="30"/>
      <c r="F549" s="31"/>
    </row>
    <row r="550" ht="15.75" customHeight="1">
      <c r="E550" s="30"/>
      <c r="F550" s="31"/>
    </row>
    <row r="551" ht="15.75" customHeight="1">
      <c r="E551" s="30"/>
      <c r="F551" s="31"/>
    </row>
    <row r="552" ht="15.75" customHeight="1">
      <c r="E552" s="30"/>
      <c r="F552" s="31"/>
    </row>
    <row r="553" ht="15.75" customHeight="1">
      <c r="E553" s="30"/>
      <c r="F553" s="31"/>
    </row>
    <row r="554" ht="15.75" customHeight="1">
      <c r="E554" s="30"/>
      <c r="F554" s="31"/>
    </row>
    <row r="555" ht="15.75" customHeight="1">
      <c r="E555" s="30"/>
      <c r="F555" s="31"/>
    </row>
    <row r="556" ht="15.75" customHeight="1">
      <c r="E556" s="30"/>
      <c r="F556" s="31"/>
    </row>
    <row r="557" ht="15.75" customHeight="1">
      <c r="E557" s="30"/>
      <c r="F557" s="31"/>
    </row>
    <row r="558" ht="15.75" customHeight="1">
      <c r="E558" s="30"/>
      <c r="F558" s="31"/>
    </row>
    <row r="559" ht="15.75" customHeight="1">
      <c r="E559" s="30"/>
      <c r="F559" s="31"/>
    </row>
    <row r="560" ht="15.75" customHeight="1">
      <c r="E560" s="30"/>
      <c r="F560" s="31"/>
    </row>
    <row r="561" ht="15.75" customHeight="1">
      <c r="E561" s="30"/>
      <c r="F561" s="31"/>
    </row>
    <row r="562" ht="15.75" customHeight="1">
      <c r="E562" s="30"/>
      <c r="F562" s="31"/>
    </row>
    <row r="563" ht="15.75" customHeight="1">
      <c r="E563" s="30"/>
      <c r="F563" s="31"/>
    </row>
    <row r="564" ht="15.75" customHeight="1">
      <c r="E564" s="30"/>
      <c r="F564" s="31"/>
    </row>
    <row r="565" ht="15.75" customHeight="1">
      <c r="E565" s="30"/>
      <c r="F565" s="31"/>
    </row>
    <row r="566" ht="15.75" customHeight="1">
      <c r="E566" s="30"/>
      <c r="F566" s="31"/>
    </row>
    <row r="567" ht="15.75" customHeight="1">
      <c r="E567" s="30"/>
      <c r="F567" s="31"/>
    </row>
    <row r="568" ht="15.75" customHeight="1">
      <c r="E568" s="30"/>
      <c r="F568" s="31"/>
    </row>
    <row r="569" ht="15.75" customHeight="1">
      <c r="E569" s="30"/>
      <c r="F569" s="31"/>
    </row>
    <row r="570" ht="15.75" customHeight="1">
      <c r="E570" s="30"/>
      <c r="F570" s="31"/>
    </row>
    <row r="571" ht="15.75" customHeight="1">
      <c r="E571" s="30"/>
      <c r="F571" s="31"/>
    </row>
    <row r="572" ht="15.75" customHeight="1">
      <c r="E572" s="30"/>
      <c r="F572" s="31"/>
    </row>
    <row r="573" ht="15.75" customHeight="1">
      <c r="E573" s="30"/>
      <c r="F573" s="31"/>
    </row>
    <row r="574" ht="15.75" customHeight="1">
      <c r="E574" s="30"/>
      <c r="F574" s="31"/>
    </row>
    <row r="575" ht="15.75" customHeight="1">
      <c r="E575" s="30"/>
      <c r="F575" s="31"/>
    </row>
    <row r="576" ht="15.75" customHeight="1">
      <c r="E576" s="30"/>
      <c r="F576" s="31"/>
    </row>
    <row r="577" ht="15.75" customHeight="1">
      <c r="E577" s="30"/>
      <c r="F577" s="31"/>
    </row>
    <row r="578" ht="15.75" customHeight="1">
      <c r="E578" s="30"/>
      <c r="F578" s="31"/>
    </row>
    <row r="579" ht="15.75" customHeight="1">
      <c r="E579" s="30"/>
      <c r="F579" s="31"/>
    </row>
    <row r="580" ht="15.75" customHeight="1">
      <c r="E580" s="30"/>
      <c r="F580" s="31"/>
    </row>
    <row r="581" ht="15.75" customHeight="1">
      <c r="E581" s="30"/>
      <c r="F581" s="31"/>
    </row>
    <row r="582" ht="15.75" customHeight="1">
      <c r="E582" s="30"/>
      <c r="F582" s="31"/>
    </row>
    <row r="583" ht="15.75" customHeight="1">
      <c r="E583" s="30"/>
      <c r="F583" s="31"/>
    </row>
    <row r="584" ht="15.75" customHeight="1">
      <c r="E584" s="30"/>
      <c r="F584" s="31"/>
    </row>
    <row r="585" ht="15.75" customHeight="1">
      <c r="E585" s="30"/>
      <c r="F585" s="31"/>
    </row>
    <row r="586" ht="15.75" customHeight="1">
      <c r="E586" s="30"/>
      <c r="F586" s="31"/>
    </row>
    <row r="587" ht="15.75" customHeight="1">
      <c r="E587" s="30"/>
      <c r="F587" s="31"/>
    </row>
    <row r="588" ht="15.75" customHeight="1">
      <c r="E588" s="30"/>
      <c r="F588" s="31"/>
    </row>
    <row r="589" ht="15.75" customHeight="1">
      <c r="E589" s="30"/>
      <c r="F589" s="31"/>
    </row>
    <row r="590" ht="15.75" customHeight="1">
      <c r="E590" s="30"/>
      <c r="F590" s="31"/>
    </row>
    <row r="591" ht="15.75" customHeight="1">
      <c r="E591" s="30"/>
      <c r="F591" s="31"/>
    </row>
    <row r="592" ht="15.75" customHeight="1">
      <c r="E592" s="30"/>
      <c r="F592" s="31"/>
    </row>
    <row r="593" ht="15.75" customHeight="1">
      <c r="E593" s="30"/>
      <c r="F593" s="31"/>
    </row>
    <row r="594" ht="15.75" customHeight="1">
      <c r="E594" s="30"/>
      <c r="F594" s="31"/>
    </row>
    <row r="595" ht="15.75" customHeight="1">
      <c r="E595" s="30"/>
      <c r="F595" s="31"/>
    </row>
    <row r="596" ht="15.75" customHeight="1">
      <c r="E596" s="30"/>
      <c r="F596" s="31"/>
    </row>
    <row r="597" ht="15.75" customHeight="1">
      <c r="E597" s="30"/>
      <c r="F597" s="31"/>
    </row>
    <row r="598" ht="15.75" customHeight="1">
      <c r="E598" s="30"/>
      <c r="F598" s="31"/>
    </row>
    <row r="599" ht="15.75" customHeight="1">
      <c r="E599" s="30"/>
      <c r="F599" s="31"/>
    </row>
    <row r="600" ht="15.75" customHeight="1">
      <c r="E600" s="30"/>
      <c r="F600" s="31"/>
    </row>
    <row r="601" ht="15.75" customHeight="1">
      <c r="E601" s="30"/>
      <c r="F601" s="31"/>
    </row>
    <row r="602" ht="15.75" customHeight="1">
      <c r="E602" s="30"/>
      <c r="F602" s="31"/>
    </row>
    <row r="603" ht="15.75" customHeight="1">
      <c r="E603" s="30"/>
      <c r="F603" s="31"/>
    </row>
    <row r="604" ht="15.75" customHeight="1">
      <c r="E604" s="30"/>
      <c r="F604" s="31"/>
    </row>
    <row r="605" ht="15.75" customHeight="1">
      <c r="E605" s="30"/>
      <c r="F605" s="31"/>
    </row>
    <row r="606" ht="15.75" customHeight="1">
      <c r="E606" s="30"/>
      <c r="F606" s="31"/>
    </row>
    <row r="607" ht="15.75" customHeight="1">
      <c r="E607" s="30"/>
      <c r="F607" s="31"/>
    </row>
    <row r="608" ht="15.75" customHeight="1">
      <c r="E608" s="30"/>
      <c r="F608" s="31"/>
    </row>
    <row r="609" ht="15.75" customHeight="1">
      <c r="E609" s="30"/>
      <c r="F609" s="31"/>
    </row>
    <row r="610" ht="15.75" customHeight="1">
      <c r="E610" s="30"/>
      <c r="F610" s="31"/>
    </row>
    <row r="611" ht="15.75" customHeight="1">
      <c r="E611" s="30"/>
      <c r="F611" s="31"/>
    </row>
    <row r="612" ht="15.75" customHeight="1">
      <c r="E612" s="30"/>
      <c r="F612" s="31"/>
    </row>
    <row r="613" ht="15.75" customHeight="1">
      <c r="E613" s="30"/>
      <c r="F613" s="31"/>
    </row>
    <row r="614" ht="15.75" customHeight="1">
      <c r="E614" s="30"/>
      <c r="F614" s="31"/>
    </row>
    <row r="615" ht="15.75" customHeight="1">
      <c r="E615" s="30"/>
      <c r="F615" s="31"/>
    </row>
    <row r="616" ht="15.75" customHeight="1">
      <c r="E616" s="30"/>
      <c r="F616" s="31"/>
    </row>
    <row r="617" ht="15.75" customHeight="1">
      <c r="E617" s="30"/>
      <c r="F617" s="31"/>
    </row>
    <row r="618" ht="15.75" customHeight="1">
      <c r="E618" s="30"/>
      <c r="F618" s="31"/>
    </row>
    <row r="619" ht="15.75" customHeight="1">
      <c r="E619" s="30"/>
      <c r="F619" s="31"/>
    </row>
    <row r="620" ht="15.75" customHeight="1">
      <c r="E620" s="30"/>
      <c r="F620" s="31"/>
    </row>
    <row r="621" ht="15.75" customHeight="1">
      <c r="E621" s="30"/>
      <c r="F621" s="31"/>
    </row>
    <row r="622" ht="15.75" customHeight="1">
      <c r="E622" s="30"/>
      <c r="F622" s="31"/>
    </row>
    <row r="623" ht="15.75" customHeight="1">
      <c r="E623" s="30"/>
      <c r="F623" s="31"/>
    </row>
    <row r="624" ht="15.75" customHeight="1">
      <c r="E624" s="30"/>
      <c r="F624" s="31"/>
    </row>
    <row r="625" ht="15.75" customHeight="1">
      <c r="E625" s="30"/>
      <c r="F625" s="31"/>
    </row>
    <row r="626" ht="15.75" customHeight="1">
      <c r="E626" s="30"/>
      <c r="F626" s="31"/>
    </row>
    <row r="627" ht="15.75" customHeight="1">
      <c r="E627" s="30"/>
      <c r="F627" s="31"/>
    </row>
    <row r="628" ht="15.75" customHeight="1">
      <c r="E628" s="30"/>
      <c r="F628" s="31"/>
    </row>
    <row r="629" ht="15.75" customHeight="1">
      <c r="E629" s="30"/>
      <c r="F629" s="31"/>
    </row>
    <row r="630" ht="15.75" customHeight="1">
      <c r="E630" s="30"/>
      <c r="F630" s="31"/>
    </row>
    <row r="631" ht="15.75" customHeight="1">
      <c r="E631" s="30"/>
      <c r="F631" s="31"/>
    </row>
    <row r="632" ht="15.75" customHeight="1">
      <c r="E632" s="30"/>
      <c r="F632" s="31"/>
    </row>
    <row r="633" ht="15.75" customHeight="1">
      <c r="E633" s="30"/>
      <c r="F633" s="31"/>
    </row>
    <row r="634" ht="15.75" customHeight="1">
      <c r="E634" s="30"/>
      <c r="F634" s="31"/>
    </row>
    <row r="635" ht="15.75" customHeight="1">
      <c r="E635" s="30"/>
      <c r="F635" s="31"/>
    </row>
    <row r="636" ht="15.75" customHeight="1">
      <c r="E636" s="30"/>
      <c r="F636" s="31"/>
    </row>
    <row r="637" ht="15.75" customHeight="1">
      <c r="E637" s="30"/>
      <c r="F637" s="31"/>
    </row>
    <row r="638" ht="15.75" customHeight="1">
      <c r="E638" s="30"/>
      <c r="F638" s="31"/>
    </row>
    <row r="639" ht="15.75" customHeight="1">
      <c r="E639" s="30"/>
      <c r="F639" s="31"/>
    </row>
    <row r="640" ht="15.75" customHeight="1">
      <c r="E640" s="30"/>
      <c r="F640" s="31"/>
    </row>
    <row r="641" ht="15.75" customHeight="1">
      <c r="E641" s="30"/>
      <c r="F641" s="31"/>
    </row>
    <row r="642" ht="15.75" customHeight="1">
      <c r="E642" s="30"/>
      <c r="F642" s="31"/>
    </row>
    <row r="643" ht="15.75" customHeight="1">
      <c r="E643" s="30"/>
      <c r="F643" s="31"/>
    </row>
    <row r="644" ht="15.75" customHeight="1">
      <c r="E644" s="30"/>
      <c r="F644" s="31"/>
    </row>
    <row r="645" ht="15.75" customHeight="1">
      <c r="E645" s="30"/>
      <c r="F645" s="31"/>
    </row>
    <row r="646" ht="15.75" customHeight="1">
      <c r="E646" s="30"/>
      <c r="F646" s="31"/>
    </row>
    <row r="647" ht="15.75" customHeight="1">
      <c r="E647" s="30"/>
      <c r="F647" s="31"/>
    </row>
    <row r="648" ht="15.75" customHeight="1">
      <c r="E648" s="30"/>
      <c r="F648" s="31"/>
    </row>
    <row r="649" ht="15.75" customHeight="1">
      <c r="E649" s="30"/>
      <c r="F649" s="31"/>
    </row>
    <row r="650" ht="15.75" customHeight="1">
      <c r="E650" s="30"/>
      <c r="F650" s="31"/>
    </row>
    <row r="651" ht="15.75" customHeight="1">
      <c r="E651" s="30"/>
      <c r="F651" s="31"/>
    </row>
    <row r="652" ht="15.75" customHeight="1">
      <c r="E652" s="30"/>
      <c r="F652" s="31"/>
    </row>
    <row r="653" ht="15.75" customHeight="1">
      <c r="E653" s="30"/>
      <c r="F653" s="31"/>
    </row>
    <row r="654" ht="15.75" customHeight="1">
      <c r="E654" s="30"/>
      <c r="F654" s="31"/>
    </row>
    <row r="655" ht="15.75" customHeight="1">
      <c r="E655" s="30"/>
      <c r="F655" s="31"/>
    </row>
    <row r="656" ht="15.75" customHeight="1">
      <c r="E656" s="30"/>
      <c r="F656" s="31"/>
    </row>
    <row r="657" ht="15.75" customHeight="1">
      <c r="E657" s="30"/>
      <c r="F657" s="31"/>
    </row>
    <row r="658" ht="15.75" customHeight="1">
      <c r="E658" s="30"/>
      <c r="F658" s="31"/>
    </row>
    <row r="659" ht="15.75" customHeight="1">
      <c r="E659" s="30"/>
      <c r="F659" s="31"/>
    </row>
    <row r="660" ht="15.75" customHeight="1">
      <c r="E660" s="30"/>
      <c r="F660" s="31"/>
    </row>
    <row r="661" ht="15.75" customHeight="1">
      <c r="E661" s="30"/>
      <c r="F661" s="31"/>
    </row>
    <row r="662" ht="15.75" customHeight="1">
      <c r="E662" s="30"/>
      <c r="F662" s="31"/>
    </row>
    <row r="663" ht="15.75" customHeight="1">
      <c r="E663" s="30"/>
      <c r="F663" s="31"/>
    </row>
    <row r="664" ht="15.75" customHeight="1">
      <c r="E664" s="30"/>
      <c r="F664" s="31"/>
    </row>
    <row r="665" ht="15.75" customHeight="1">
      <c r="E665" s="30"/>
      <c r="F665" s="31"/>
    </row>
    <row r="666" ht="15.75" customHeight="1">
      <c r="E666" s="30"/>
      <c r="F666" s="31"/>
    </row>
    <row r="667" ht="15.75" customHeight="1">
      <c r="E667" s="30"/>
      <c r="F667" s="31"/>
    </row>
    <row r="668" ht="15.75" customHeight="1">
      <c r="E668" s="30"/>
      <c r="F668" s="31"/>
    </row>
    <row r="669" ht="15.75" customHeight="1">
      <c r="E669" s="30"/>
      <c r="F669" s="31"/>
    </row>
    <row r="670" ht="15.75" customHeight="1">
      <c r="E670" s="30"/>
      <c r="F670" s="31"/>
    </row>
    <row r="671" ht="15.75" customHeight="1">
      <c r="E671" s="30"/>
      <c r="F671" s="31"/>
    </row>
    <row r="672" ht="15.75" customHeight="1">
      <c r="E672" s="30"/>
      <c r="F672" s="31"/>
    </row>
    <row r="673" ht="15.75" customHeight="1">
      <c r="E673" s="30"/>
      <c r="F673" s="31"/>
    </row>
    <row r="674" ht="15.75" customHeight="1">
      <c r="E674" s="30"/>
      <c r="F674" s="31"/>
    </row>
    <row r="675" ht="15.75" customHeight="1">
      <c r="E675" s="30"/>
      <c r="F675" s="31"/>
    </row>
    <row r="676" ht="15.75" customHeight="1">
      <c r="E676" s="30"/>
      <c r="F676" s="31"/>
    </row>
    <row r="677" ht="15.75" customHeight="1">
      <c r="E677" s="30"/>
      <c r="F677" s="31"/>
    </row>
    <row r="678" ht="15.75" customHeight="1">
      <c r="E678" s="30"/>
      <c r="F678" s="31"/>
    </row>
    <row r="679" ht="15.75" customHeight="1">
      <c r="E679" s="30"/>
      <c r="F679" s="31"/>
    </row>
    <row r="680" ht="15.75" customHeight="1">
      <c r="E680" s="30"/>
      <c r="F680" s="31"/>
    </row>
    <row r="681" ht="15.75" customHeight="1">
      <c r="E681" s="30"/>
      <c r="F681" s="31"/>
    </row>
    <row r="682" ht="15.75" customHeight="1">
      <c r="E682" s="30"/>
      <c r="F682" s="31"/>
    </row>
    <row r="683" ht="15.75" customHeight="1">
      <c r="E683" s="30"/>
      <c r="F683" s="31"/>
    </row>
    <row r="684" ht="15.75" customHeight="1">
      <c r="E684" s="30"/>
      <c r="F684" s="31"/>
    </row>
    <row r="685" ht="15.75" customHeight="1">
      <c r="E685" s="30"/>
      <c r="F685" s="31"/>
    </row>
    <row r="686" ht="15.75" customHeight="1">
      <c r="E686" s="30"/>
      <c r="F686" s="31"/>
    </row>
    <row r="687" ht="15.75" customHeight="1">
      <c r="E687" s="30"/>
      <c r="F687" s="31"/>
    </row>
    <row r="688" ht="15.75" customHeight="1">
      <c r="E688" s="30"/>
      <c r="F688" s="31"/>
    </row>
    <row r="689" ht="15.75" customHeight="1">
      <c r="E689" s="30"/>
      <c r="F689" s="31"/>
    </row>
    <row r="690" ht="15.75" customHeight="1">
      <c r="E690" s="30"/>
      <c r="F690" s="31"/>
    </row>
    <row r="691" ht="15.75" customHeight="1">
      <c r="E691" s="30"/>
      <c r="F691" s="31"/>
    </row>
    <row r="692" ht="15.75" customHeight="1">
      <c r="E692" s="30"/>
      <c r="F692" s="31"/>
    </row>
    <row r="693" ht="15.75" customHeight="1">
      <c r="E693" s="30"/>
      <c r="F693" s="31"/>
    </row>
    <row r="694" ht="15.75" customHeight="1">
      <c r="E694" s="30"/>
      <c r="F694" s="31"/>
    </row>
    <row r="695" ht="15.75" customHeight="1">
      <c r="E695" s="30"/>
      <c r="F695" s="31"/>
    </row>
    <row r="696" ht="15.75" customHeight="1">
      <c r="E696" s="30"/>
      <c r="F696" s="31"/>
    </row>
    <row r="697" ht="15.75" customHeight="1">
      <c r="E697" s="30"/>
      <c r="F697" s="31"/>
    </row>
    <row r="698" ht="15.75" customHeight="1">
      <c r="E698" s="30"/>
      <c r="F698" s="31"/>
    </row>
    <row r="699" ht="15.75" customHeight="1">
      <c r="E699" s="30"/>
      <c r="F699" s="31"/>
    </row>
    <row r="700" ht="15.75" customHeight="1">
      <c r="E700" s="30"/>
      <c r="F700" s="31"/>
    </row>
    <row r="701" ht="15.75" customHeight="1">
      <c r="E701" s="30"/>
      <c r="F701" s="31"/>
    </row>
    <row r="702" ht="15.75" customHeight="1">
      <c r="E702" s="30"/>
      <c r="F702" s="31"/>
    </row>
    <row r="703" ht="15.75" customHeight="1">
      <c r="E703" s="30"/>
      <c r="F703" s="31"/>
    </row>
    <row r="704" ht="15.75" customHeight="1">
      <c r="E704" s="30"/>
      <c r="F704" s="31"/>
    </row>
    <row r="705" ht="15.75" customHeight="1">
      <c r="E705" s="30"/>
      <c r="F705" s="31"/>
    </row>
    <row r="706" ht="15.75" customHeight="1">
      <c r="E706" s="30"/>
      <c r="F706" s="31"/>
    </row>
    <row r="707" ht="15.75" customHeight="1">
      <c r="E707" s="30"/>
      <c r="F707" s="31"/>
    </row>
    <row r="708" ht="15.75" customHeight="1">
      <c r="E708" s="30"/>
      <c r="F708" s="31"/>
    </row>
    <row r="709" ht="15.75" customHeight="1">
      <c r="E709" s="30"/>
      <c r="F709" s="31"/>
    </row>
    <row r="710" ht="15.75" customHeight="1">
      <c r="E710" s="30"/>
      <c r="F710" s="31"/>
    </row>
    <row r="711" ht="15.75" customHeight="1">
      <c r="E711" s="30"/>
      <c r="F711" s="31"/>
    </row>
    <row r="712" ht="15.75" customHeight="1">
      <c r="E712" s="30"/>
      <c r="F712" s="31"/>
    </row>
    <row r="713" ht="15.75" customHeight="1">
      <c r="E713" s="30"/>
      <c r="F713" s="31"/>
    </row>
    <row r="714" ht="15.75" customHeight="1">
      <c r="E714" s="30"/>
      <c r="F714" s="31"/>
    </row>
    <row r="715" ht="15.75" customHeight="1">
      <c r="E715" s="30"/>
      <c r="F715" s="31"/>
    </row>
    <row r="716" ht="15.75" customHeight="1">
      <c r="E716" s="30"/>
      <c r="F716" s="31"/>
    </row>
    <row r="717" ht="15.75" customHeight="1">
      <c r="E717" s="30"/>
      <c r="F717" s="31"/>
    </row>
    <row r="718" ht="15.75" customHeight="1">
      <c r="E718" s="30"/>
      <c r="F718" s="31"/>
    </row>
    <row r="719" ht="15.75" customHeight="1">
      <c r="E719" s="30"/>
      <c r="F719" s="31"/>
    </row>
    <row r="720" ht="15.75" customHeight="1">
      <c r="E720" s="30"/>
      <c r="F720" s="31"/>
    </row>
    <row r="721" ht="15.75" customHeight="1">
      <c r="E721" s="30"/>
      <c r="F721" s="31"/>
    </row>
    <row r="722" ht="15.75" customHeight="1">
      <c r="E722" s="30"/>
      <c r="F722" s="31"/>
    </row>
    <row r="723" ht="15.75" customHeight="1">
      <c r="E723" s="30"/>
      <c r="F723" s="31"/>
    </row>
    <row r="724" ht="15.75" customHeight="1">
      <c r="E724" s="30"/>
      <c r="F724" s="31"/>
    </row>
    <row r="725" ht="15.75" customHeight="1">
      <c r="E725" s="30"/>
      <c r="F725" s="31"/>
    </row>
    <row r="726" ht="15.75" customHeight="1">
      <c r="E726" s="30"/>
      <c r="F726" s="31"/>
    </row>
    <row r="727" ht="15.75" customHeight="1">
      <c r="E727" s="30"/>
      <c r="F727" s="31"/>
    </row>
    <row r="728" ht="15.75" customHeight="1">
      <c r="E728" s="30"/>
      <c r="F728" s="31"/>
    </row>
    <row r="729" ht="15.75" customHeight="1">
      <c r="E729" s="30"/>
      <c r="F729" s="31"/>
    </row>
    <row r="730" ht="15.75" customHeight="1">
      <c r="E730" s="30"/>
      <c r="F730" s="31"/>
    </row>
    <row r="731" ht="15.75" customHeight="1">
      <c r="E731" s="30"/>
      <c r="F731" s="31"/>
    </row>
    <row r="732" ht="15.75" customHeight="1">
      <c r="E732" s="30"/>
      <c r="F732" s="31"/>
    </row>
    <row r="733" ht="15.75" customHeight="1">
      <c r="E733" s="30"/>
      <c r="F733" s="31"/>
    </row>
    <row r="734" ht="15.75" customHeight="1">
      <c r="E734" s="30"/>
      <c r="F734" s="31"/>
    </row>
    <row r="735" ht="15.75" customHeight="1">
      <c r="E735" s="30"/>
      <c r="F735" s="31"/>
    </row>
    <row r="736" ht="15.75" customHeight="1">
      <c r="E736" s="30"/>
      <c r="F736" s="31"/>
    </row>
    <row r="737" ht="15.75" customHeight="1">
      <c r="E737" s="30"/>
      <c r="F737" s="31"/>
    </row>
    <row r="738" ht="15.75" customHeight="1">
      <c r="E738" s="30"/>
      <c r="F738" s="31"/>
    </row>
    <row r="739" ht="15.75" customHeight="1">
      <c r="E739" s="30"/>
      <c r="F739" s="31"/>
    </row>
    <row r="740" ht="15.75" customHeight="1">
      <c r="E740" s="30"/>
      <c r="F740" s="31"/>
    </row>
    <row r="741" ht="15.75" customHeight="1">
      <c r="E741" s="30"/>
      <c r="F741" s="31"/>
    </row>
    <row r="742" ht="15.75" customHeight="1">
      <c r="E742" s="30"/>
      <c r="F742" s="31"/>
    </row>
    <row r="743" ht="15.75" customHeight="1">
      <c r="E743" s="30"/>
      <c r="F743" s="31"/>
    </row>
    <row r="744" ht="15.75" customHeight="1">
      <c r="E744" s="30"/>
      <c r="F744" s="31"/>
    </row>
    <row r="745" ht="15.75" customHeight="1">
      <c r="E745" s="30"/>
      <c r="F745" s="31"/>
    </row>
    <row r="746" ht="15.75" customHeight="1">
      <c r="E746" s="30"/>
      <c r="F746" s="31"/>
    </row>
    <row r="747" ht="15.75" customHeight="1">
      <c r="E747" s="30"/>
      <c r="F747" s="31"/>
    </row>
    <row r="748" ht="15.75" customHeight="1">
      <c r="E748" s="30"/>
      <c r="F748" s="31"/>
    </row>
    <row r="749" ht="15.75" customHeight="1">
      <c r="E749" s="30"/>
      <c r="F749" s="31"/>
    </row>
    <row r="750" ht="15.75" customHeight="1">
      <c r="E750" s="30"/>
      <c r="F750" s="31"/>
    </row>
    <row r="751" ht="15.75" customHeight="1">
      <c r="E751" s="30"/>
      <c r="F751" s="31"/>
    </row>
    <row r="752" ht="15.75" customHeight="1">
      <c r="E752" s="30"/>
      <c r="F752" s="31"/>
    </row>
    <row r="753" ht="15.75" customHeight="1">
      <c r="E753" s="30"/>
      <c r="F753" s="31"/>
    </row>
    <row r="754" ht="15.75" customHeight="1">
      <c r="E754" s="30"/>
      <c r="F754" s="31"/>
    </row>
    <row r="755" ht="15.75" customHeight="1">
      <c r="E755" s="30"/>
      <c r="F755" s="31"/>
    </row>
    <row r="756" ht="15.75" customHeight="1">
      <c r="E756" s="30"/>
      <c r="F756" s="31"/>
    </row>
    <row r="757" ht="15.75" customHeight="1">
      <c r="E757" s="30"/>
      <c r="F757" s="31"/>
    </row>
    <row r="758" ht="15.75" customHeight="1">
      <c r="E758" s="30"/>
      <c r="F758" s="31"/>
    </row>
    <row r="759" ht="15.75" customHeight="1">
      <c r="E759" s="30"/>
      <c r="F759" s="31"/>
    </row>
    <row r="760" ht="15.75" customHeight="1">
      <c r="E760" s="30"/>
      <c r="F760" s="31"/>
    </row>
    <row r="761" ht="15.75" customHeight="1">
      <c r="E761" s="30"/>
      <c r="F761" s="31"/>
    </row>
    <row r="762" ht="15.75" customHeight="1">
      <c r="E762" s="30"/>
      <c r="F762" s="31"/>
    </row>
    <row r="763" ht="15.75" customHeight="1">
      <c r="E763" s="30"/>
      <c r="F763" s="31"/>
    </row>
    <row r="764" ht="15.75" customHeight="1">
      <c r="E764" s="30"/>
      <c r="F764" s="31"/>
    </row>
    <row r="765" ht="15.75" customHeight="1">
      <c r="E765" s="30"/>
      <c r="F765" s="31"/>
    </row>
    <row r="766" ht="15.75" customHeight="1">
      <c r="E766" s="30"/>
      <c r="F766" s="31"/>
    </row>
    <row r="767" ht="15.75" customHeight="1">
      <c r="E767" s="30"/>
      <c r="F767" s="31"/>
    </row>
    <row r="768" ht="15.75" customHeight="1">
      <c r="E768" s="30"/>
      <c r="F768" s="31"/>
    </row>
    <row r="769" ht="15.75" customHeight="1">
      <c r="E769" s="30"/>
      <c r="F769" s="31"/>
    </row>
    <row r="770" ht="15.75" customHeight="1">
      <c r="E770" s="30"/>
      <c r="F770" s="31"/>
    </row>
    <row r="771" ht="15.75" customHeight="1">
      <c r="E771" s="30"/>
      <c r="F771" s="31"/>
    </row>
    <row r="772" ht="15.75" customHeight="1">
      <c r="E772" s="30"/>
      <c r="F772" s="31"/>
    </row>
    <row r="773" ht="15.75" customHeight="1">
      <c r="E773" s="30"/>
      <c r="F773" s="31"/>
    </row>
    <row r="774" ht="15.75" customHeight="1">
      <c r="E774" s="30"/>
      <c r="F774" s="31"/>
    </row>
    <row r="775" ht="15.75" customHeight="1">
      <c r="E775" s="30"/>
      <c r="F775" s="31"/>
    </row>
    <row r="776" ht="15.75" customHeight="1">
      <c r="E776" s="30"/>
      <c r="F776" s="31"/>
    </row>
    <row r="777" ht="15.75" customHeight="1">
      <c r="E777" s="30"/>
      <c r="F777" s="31"/>
    </row>
    <row r="778" ht="15.75" customHeight="1">
      <c r="E778" s="30"/>
      <c r="F778" s="31"/>
    </row>
    <row r="779" ht="15.75" customHeight="1">
      <c r="E779" s="30"/>
      <c r="F779" s="31"/>
    </row>
    <row r="780" ht="15.75" customHeight="1">
      <c r="E780" s="30"/>
      <c r="F780" s="31"/>
    </row>
    <row r="781" ht="15.75" customHeight="1">
      <c r="E781" s="30"/>
      <c r="F781" s="31"/>
    </row>
    <row r="782" ht="15.75" customHeight="1">
      <c r="E782" s="30"/>
      <c r="F782" s="31"/>
    </row>
    <row r="783" ht="15.75" customHeight="1">
      <c r="E783" s="30"/>
      <c r="F783" s="31"/>
    </row>
    <row r="784" ht="15.75" customHeight="1">
      <c r="E784" s="30"/>
      <c r="F784" s="31"/>
    </row>
    <row r="785" ht="15.75" customHeight="1">
      <c r="E785" s="30"/>
      <c r="F785" s="31"/>
    </row>
    <row r="786" ht="15.75" customHeight="1">
      <c r="E786" s="30"/>
      <c r="F786" s="31"/>
    </row>
    <row r="787" ht="15.75" customHeight="1">
      <c r="E787" s="30"/>
      <c r="F787" s="31"/>
    </row>
    <row r="788" ht="15.75" customHeight="1">
      <c r="E788" s="30"/>
      <c r="F788" s="31"/>
    </row>
    <row r="789" ht="15.75" customHeight="1">
      <c r="E789" s="30"/>
      <c r="F789" s="31"/>
    </row>
    <row r="790" ht="15.75" customHeight="1">
      <c r="E790" s="30"/>
      <c r="F790" s="31"/>
    </row>
    <row r="791" ht="15.75" customHeight="1">
      <c r="E791" s="30"/>
      <c r="F791" s="31"/>
    </row>
    <row r="792" ht="15.75" customHeight="1">
      <c r="E792" s="30"/>
      <c r="F792" s="31"/>
    </row>
    <row r="793" ht="15.75" customHeight="1">
      <c r="E793" s="30"/>
      <c r="F793" s="31"/>
    </row>
    <row r="794" ht="15.75" customHeight="1">
      <c r="E794" s="30"/>
      <c r="F794" s="31"/>
    </row>
    <row r="795" ht="15.75" customHeight="1">
      <c r="E795" s="30"/>
      <c r="F795" s="31"/>
    </row>
    <row r="796" ht="15.75" customHeight="1">
      <c r="E796" s="30"/>
      <c r="F796" s="31"/>
    </row>
    <row r="797" ht="15.75" customHeight="1">
      <c r="E797" s="30"/>
      <c r="F797" s="31"/>
    </row>
    <row r="798" ht="15.75" customHeight="1">
      <c r="E798" s="30"/>
      <c r="F798" s="31"/>
    </row>
    <row r="799" ht="15.75" customHeight="1">
      <c r="E799" s="30"/>
      <c r="F799" s="31"/>
    </row>
    <row r="800" ht="15.75" customHeight="1">
      <c r="E800" s="30"/>
      <c r="F800" s="31"/>
    </row>
    <row r="801" ht="15.75" customHeight="1">
      <c r="E801" s="30"/>
      <c r="F801" s="31"/>
    </row>
    <row r="802" ht="15.75" customHeight="1">
      <c r="E802" s="30"/>
      <c r="F802" s="31"/>
    </row>
    <row r="803" ht="15.75" customHeight="1">
      <c r="E803" s="30"/>
      <c r="F803" s="31"/>
    </row>
    <row r="804" ht="15.75" customHeight="1">
      <c r="E804" s="30"/>
      <c r="F804" s="31"/>
    </row>
    <row r="805" ht="15.75" customHeight="1">
      <c r="E805" s="30"/>
      <c r="F805" s="31"/>
    </row>
    <row r="806" ht="15.75" customHeight="1">
      <c r="E806" s="30"/>
      <c r="F806" s="31"/>
    </row>
    <row r="807" ht="15.75" customHeight="1">
      <c r="E807" s="30"/>
      <c r="F807" s="31"/>
    </row>
    <row r="808" ht="15.75" customHeight="1">
      <c r="E808" s="30"/>
      <c r="F808" s="31"/>
    </row>
    <row r="809" ht="15.75" customHeight="1">
      <c r="E809" s="30"/>
      <c r="F809" s="31"/>
    </row>
    <row r="810" ht="15.75" customHeight="1">
      <c r="E810" s="30"/>
      <c r="F810" s="31"/>
    </row>
    <row r="811" ht="15.75" customHeight="1">
      <c r="E811" s="30"/>
      <c r="F811" s="31"/>
    </row>
    <row r="812" ht="15.75" customHeight="1">
      <c r="E812" s="30"/>
      <c r="F812" s="31"/>
    </row>
    <row r="813" ht="15.75" customHeight="1">
      <c r="E813" s="30"/>
      <c r="F813" s="31"/>
    </row>
    <row r="814" ht="15.75" customHeight="1">
      <c r="E814" s="30"/>
      <c r="F814" s="31"/>
    </row>
    <row r="815" ht="15.75" customHeight="1">
      <c r="E815" s="30"/>
      <c r="F815" s="31"/>
    </row>
    <row r="816" ht="15.75" customHeight="1">
      <c r="E816" s="30"/>
      <c r="F816" s="31"/>
    </row>
    <row r="817" ht="15.75" customHeight="1">
      <c r="E817" s="30"/>
      <c r="F817" s="31"/>
    </row>
    <row r="818" ht="15.75" customHeight="1">
      <c r="E818" s="30"/>
      <c r="F818" s="31"/>
    </row>
    <row r="819" ht="15.75" customHeight="1">
      <c r="E819" s="30"/>
      <c r="F819" s="31"/>
    </row>
    <row r="820" ht="15.75" customHeight="1">
      <c r="E820" s="30"/>
      <c r="F820" s="31"/>
    </row>
    <row r="821" ht="15.75" customHeight="1">
      <c r="E821" s="30"/>
      <c r="F821" s="31"/>
    </row>
    <row r="822" ht="15.75" customHeight="1">
      <c r="E822" s="30"/>
      <c r="F822" s="31"/>
    </row>
    <row r="823" ht="15.75" customHeight="1">
      <c r="E823" s="30"/>
      <c r="F823" s="31"/>
    </row>
    <row r="824" ht="15.75" customHeight="1">
      <c r="E824" s="30"/>
      <c r="F824" s="31"/>
    </row>
    <row r="825" ht="15.75" customHeight="1">
      <c r="E825" s="30"/>
      <c r="F825" s="31"/>
    </row>
    <row r="826" ht="15.75" customHeight="1">
      <c r="E826" s="30"/>
      <c r="F826" s="31"/>
    </row>
    <row r="827" ht="15.75" customHeight="1">
      <c r="E827" s="30"/>
      <c r="F827" s="31"/>
    </row>
    <row r="828" ht="15.75" customHeight="1">
      <c r="E828" s="30"/>
      <c r="F828" s="31"/>
    </row>
    <row r="829" ht="15.75" customHeight="1">
      <c r="E829" s="30"/>
      <c r="F829" s="31"/>
    </row>
    <row r="830" ht="15.75" customHeight="1">
      <c r="E830" s="30"/>
      <c r="F830" s="31"/>
    </row>
    <row r="831" ht="15.75" customHeight="1">
      <c r="E831" s="30"/>
      <c r="F831" s="31"/>
    </row>
    <row r="832" ht="15.75" customHeight="1">
      <c r="E832" s="30"/>
      <c r="F832" s="31"/>
    </row>
    <row r="833" ht="15.75" customHeight="1">
      <c r="E833" s="30"/>
      <c r="F833" s="31"/>
    </row>
    <row r="834" ht="15.75" customHeight="1">
      <c r="E834" s="30"/>
      <c r="F834" s="31"/>
    </row>
    <row r="835" ht="15.75" customHeight="1">
      <c r="E835" s="30"/>
      <c r="F835" s="31"/>
    </row>
    <row r="836" ht="15.75" customHeight="1">
      <c r="E836" s="30"/>
      <c r="F836" s="31"/>
    </row>
    <row r="837" ht="15.75" customHeight="1">
      <c r="E837" s="30"/>
      <c r="F837" s="31"/>
    </row>
    <row r="838" ht="15.75" customHeight="1">
      <c r="E838" s="30"/>
      <c r="F838" s="31"/>
    </row>
    <row r="839" ht="15.75" customHeight="1">
      <c r="E839" s="30"/>
      <c r="F839" s="31"/>
    </row>
    <row r="840" ht="15.75" customHeight="1">
      <c r="E840" s="30"/>
      <c r="F840" s="31"/>
    </row>
    <row r="841" ht="15.75" customHeight="1">
      <c r="E841" s="30"/>
      <c r="F841" s="31"/>
    </row>
    <row r="842" ht="15.75" customHeight="1">
      <c r="E842" s="30"/>
      <c r="F842" s="31"/>
    </row>
    <row r="843" ht="15.75" customHeight="1">
      <c r="E843" s="30"/>
      <c r="F843" s="31"/>
    </row>
    <row r="844" ht="15.75" customHeight="1">
      <c r="E844" s="30"/>
      <c r="F844" s="31"/>
    </row>
    <row r="845" ht="15.75" customHeight="1">
      <c r="E845" s="30"/>
      <c r="F845" s="31"/>
    </row>
    <row r="846" ht="15.75" customHeight="1">
      <c r="E846" s="30"/>
      <c r="F846" s="31"/>
    </row>
    <row r="847" ht="15.75" customHeight="1">
      <c r="E847" s="30"/>
      <c r="F847" s="31"/>
    </row>
    <row r="848" ht="15.75" customHeight="1">
      <c r="E848" s="30"/>
      <c r="F848" s="31"/>
    </row>
    <row r="849" ht="15.75" customHeight="1">
      <c r="E849" s="30"/>
      <c r="F849" s="31"/>
    </row>
    <row r="850" ht="15.75" customHeight="1">
      <c r="E850" s="30"/>
      <c r="F850" s="31"/>
    </row>
    <row r="851" ht="15.75" customHeight="1">
      <c r="E851" s="30"/>
      <c r="F851" s="31"/>
    </row>
    <row r="852" ht="15.75" customHeight="1">
      <c r="E852" s="30"/>
      <c r="F852" s="31"/>
    </row>
    <row r="853" ht="15.75" customHeight="1">
      <c r="E853" s="30"/>
      <c r="F853" s="31"/>
    </row>
    <row r="854" ht="15.75" customHeight="1">
      <c r="E854" s="30"/>
      <c r="F854" s="31"/>
    </row>
    <row r="855" ht="15.75" customHeight="1">
      <c r="E855" s="30"/>
      <c r="F855" s="31"/>
    </row>
    <row r="856" ht="15.75" customHeight="1">
      <c r="E856" s="30"/>
      <c r="F856" s="31"/>
    </row>
    <row r="857" ht="15.75" customHeight="1">
      <c r="E857" s="30"/>
      <c r="F857" s="31"/>
    </row>
    <row r="858" ht="15.75" customHeight="1">
      <c r="E858" s="30"/>
      <c r="F858" s="31"/>
    </row>
    <row r="859" ht="15.75" customHeight="1">
      <c r="E859" s="30"/>
      <c r="F859" s="31"/>
    </row>
    <row r="860" ht="15.75" customHeight="1">
      <c r="E860" s="30"/>
      <c r="F860" s="31"/>
    </row>
    <row r="861" ht="15.75" customHeight="1">
      <c r="E861" s="30"/>
      <c r="F861" s="31"/>
    </row>
    <row r="862" ht="15.75" customHeight="1">
      <c r="E862" s="30"/>
      <c r="F862" s="31"/>
    </row>
    <row r="863" ht="15.75" customHeight="1">
      <c r="E863" s="30"/>
      <c r="F863" s="31"/>
    </row>
    <row r="864" ht="15.75" customHeight="1">
      <c r="E864" s="30"/>
      <c r="F864" s="31"/>
    </row>
    <row r="865" ht="15.75" customHeight="1">
      <c r="E865" s="30"/>
      <c r="F865" s="31"/>
    </row>
    <row r="866" ht="15.75" customHeight="1">
      <c r="E866" s="30"/>
      <c r="F866" s="31"/>
    </row>
    <row r="867" ht="15.75" customHeight="1">
      <c r="E867" s="30"/>
      <c r="F867" s="31"/>
    </row>
    <row r="868" ht="15.75" customHeight="1">
      <c r="E868" s="30"/>
      <c r="F868" s="31"/>
    </row>
    <row r="869" ht="15.75" customHeight="1">
      <c r="E869" s="30"/>
      <c r="F869" s="31"/>
    </row>
    <row r="870" ht="15.75" customHeight="1">
      <c r="E870" s="30"/>
      <c r="F870" s="31"/>
    </row>
    <row r="871" ht="15.75" customHeight="1">
      <c r="E871" s="30"/>
      <c r="F871" s="31"/>
    </row>
    <row r="872" ht="15.75" customHeight="1">
      <c r="E872" s="30"/>
      <c r="F872" s="31"/>
    </row>
    <row r="873" ht="15.75" customHeight="1">
      <c r="E873" s="30"/>
      <c r="F873" s="31"/>
    </row>
    <row r="874" ht="15.75" customHeight="1">
      <c r="E874" s="30"/>
      <c r="F874" s="31"/>
    </row>
    <row r="875" ht="15.75" customHeight="1">
      <c r="E875" s="30"/>
      <c r="F875" s="31"/>
    </row>
    <row r="876" ht="15.75" customHeight="1">
      <c r="E876" s="30"/>
      <c r="F876" s="31"/>
    </row>
    <row r="877" ht="15.75" customHeight="1">
      <c r="E877" s="30"/>
      <c r="F877" s="31"/>
    </row>
    <row r="878" ht="15.75" customHeight="1">
      <c r="E878" s="30"/>
      <c r="F878" s="31"/>
    </row>
    <row r="879" ht="15.75" customHeight="1">
      <c r="E879" s="30"/>
      <c r="F879" s="31"/>
    </row>
    <row r="880" ht="15.75" customHeight="1">
      <c r="E880" s="30"/>
      <c r="F880" s="31"/>
    </row>
    <row r="881" ht="15.75" customHeight="1">
      <c r="E881" s="30"/>
      <c r="F881" s="31"/>
    </row>
    <row r="882" ht="15.75" customHeight="1">
      <c r="E882" s="30"/>
      <c r="F882" s="31"/>
    </row>
    <row r="883" ht="15.75" customHeight="1">
      <c r="E883" s="30"/>
      <c r="F883" s="31"/>
    </row>
    <row r="884" ht="15.75" customHeight="1">
      <c r="E884" s="30"/>
      <c r="F884" s="31"/>
    </row>
    <row r="885" ht="15.75" customHeight="1">
      <c r="E885" s="30"/>
      <c r="F885" s="31"/>
    </row>
    <row r="886" ht="15.75" customHeight="1">
      <c r="E886" s="30"/>
      <c r="F886" s="31"/>
    </row>
    <row r="887" ht="15.75" customHeight="1">
      <c r="E887" s="30"/>
      <c r="F887" s="31"/>
    </row>
    <row r="888" ht="15.75" customHeight="1">
      <c r="E888" s="30"/>
      <c r="F888" s="31"/>
    </row>
    <row r="889" ht="15.75" customHeight="1">
      <c r="E889" s="30"/>
      <c r="F889" s="31"/>
    </row>
    <row r="890" ht="15.75" customHeight="1">
      <c r="E890" s="30"/>
      <c r="F890" s="31"/>
    </row>
    <row r="891" ht="15.75" customHeight="1">
      <c r="E891" s="30"/>
      <c r="F891" s="31"/>
    </row>
    <row r="892" ht="15.75" customHeight="1">
      <c r="E892" s="30"/>
      <c r="F892" s="31"/>
    </row>
    <row r="893" ht="15.75" customHeight="1">
      <c r="E893" s="30"/>
      <c r="F893" s="31"/>
    </row>
    <row r="894" ht="15.75" customHeight="1">
      <c r="E894" s="30"/>
      <c r="F894" s="31"/>
    </row>
    <row r="895" ht="15.75" customHeight="1">
      <c r="E895" s="30"/>
      <c r="F895" s="31"/>
    </row>
    <row r="896" ht="15.75" customHeight="1">
      <c r="E896" s="30"/>
      <c r="F896" s="31"/>
    </row>
    <row r="897" ht="15.75" customHeight="1">
      <c r="E897" s="30"/>
      <c r="F897" s="31"/>
    </row>
    <row r="898" ht="15.75" customHeight="1">
      <c r="E898" s="30"/>
      <c r="F898" s="31"/>
    </row>
    <row r="899" ht="15.75" customHeight="1">
      <c r="E899" s="30"/>
      <c r="F899" s="31"/>
    </row>
    <row r="900" ht="15.75" customHeight="1">
      <c r="E900" s="30"/>
      <c r="F900" s="31"/>
    </row>
    <row r="901" ht="15.75" customHeight="1">
      <c r="E901" s="30"/>
      <c r="F901" s="31"/>
    </row>
    <row r="902" ht="15.75" customHeight="1">
      <c r="E902" s="30"/>
      <c r="F902" s="31"/>
    </row>
    <row r="903" ht="15.75" customHeight="1">
      <c r="E903" s="30"/>
      <c r="F903" s="31"/>
    </row>
    <row r="904" ht="15.75" customHeight="1">
      <c r="E904" s="30"/>
      <c r="F904" s="31"/>
    </row>
    <row r="905" ht="15.75" customHeight="1">
      <c r="E905" s="30"/>
      <c r="F905" s="31"/>
    </row>
    <row r="906" ht="15.75" customHeight="1">
      <c r="E906" s="30"/>
      <c r="F906" s="31"/>
    </row>
    <row r="907" ht="15.75" customHeight="1">
      <c r="E907" s="30"/>
      <c r="F907" s="31"/>
    </row>
    <row r="908" ht="15.75" customHeight="1">
      <c r="E908" s="30"/>
      <c r="F908" s="31"/>
    </row>
    <row r="909" ht="15.75" customHeight="1">
      <c r="E909" s="30"/>
      <c r="F909" s="31"/>
    </row>
    <row r="910" ht="15.75" customHeight="1">
      <c r="E910" s="30"/>
      <c r="F910" s="31"/>
    </row>
    <row r="911" ht="15.75" customHeight="1">
      <c r="E911" s="30"/>
      <c r="F911" s="31"/>
    </row>
    <row r="912" ht="15.75" customHeight="1">
      <c r="E912" s="30"/>
      <c r="F912" s="31"/>
    </row>
    <row r="913" ht="15.75" customHeight="1">
      <c r="E913" s="30"/>
      <c r="F913" s="31"/>
    </row>
    <row r="914" ht="15.75" customHeight="1">
      <c r="E914" s="30"/>
      <c r="F914" s="31"/>
    </row>
    <row r="915" ht="15.75" customHeight="1">
      <c r="E915" s="30"/>
      <c r="F915" s="31"/>
    </row>
    <row r="916" ht="15.75" customHeight="1">
      <c r="E916" s="30"/>
      <c r="F916" s="31"/>
    </row>
    <row r="917" ht="15.75" customHeight="1">
      <c r="E917" s="30"/>
      <c r="F917" s="31"/>
    </row>
    <row r="918" ht="15.75" customHeight="1">
      <c r="E918" s="30"/>
      <c r="F918" s="31"/>
    </row>
    <row r="919" ht="15.75" customHeight="1">
      <c r="E919" s="30"/>
      <c r="F919" s="31"/>
    </row>
    <row r="920" ht="15.75" customHeight="1">
      <c r="E920" s="30"/>
      <c r="F920" s="31"/>
    </row>
    <row r="921" ht="15.75" customHeight="1">
      <c r="E921" s="30"/>
      <c r="F921" s="31"/>
    </row>
    <row r="922" ht="15.75" customHeight="1">
      <c r="E922" s="30"/>
      <c r="F922" s="31"/>
    </row>
    <row r="923" ht="15.75" customHeight="1">
      <c r="E923" s="30"/>
      <c r="F923" s="31"/>
    </row>
    <row r="924" ht="15.75" customHeight="1">
      <c r="E924" s="30"/>
      <c r="F924" s="31"/>
    </row>
    <row r="925" ht="15.75" customHeight="1">
      <c r="E925" s="30"/>
      <c r="F925" s="31"/>
    </row>
    <row r="926" ht="15.75" customHeight="1">
      <c r="E926" s="30"/>
      <c r="F926" s="31"/>
    </row>
    <row r="927" ht="15.75" customHeight="1">
      <c r="E927" s="30"/>
      <c r="F927" s="31"/>
    </row>
    <row r="928" ht="15.75" customHeight="1">
      <c r="E928" s="30"/>
      <c r="F928" s="31"/>
    </row>
    <row r="929" ht="15.75" customHeight="1">
      <c r="E929" s="30"/>
      <c r="F929" s="31"/>
    </row>
    <row r="930" ht="15.75" customHeight="1">
      <c r="E930" s="30"/>
      <c r="F930" s="31"/>
    </row>
    <row r="931" ht="15.75" customHeight="1">
      <c r="E931" s="30"/>
      <c r="F931" s="31"/>
    </row>
    <row r="932" ht="15.75" customHeight="1">
      <c r="E932" s="30"/>
      <c r="F932" s="31"/>
    </row>
    <row r="933" ht="15.75" customHeight="1">
      <c r="E933" s="30"/>
      <c r="F933" s="31"/>
    </row>
    <row r="934" ht="15.75" customHeight="1">
      <c r="E934" s="30"/>
      <c r="F934" s="31"/>
    </row>
    <row r="935" ht="15.75" customHeight="1">
      <c r="E935" s="30"/>
      <c r="F935" s="31"/>
    </row>
    <row r="936" ht="15.75" customHeight="1">
      <c r="E936" s="30"/>
      <c r="F936" s="31"/>
    </row>
    <row r="937" ht="15.75" customHeight="1">
      <c r="E937" s="30"/>
      <c r="F937" s="31"/>
    </row>
    <row r="938" ht="15.75" customHeight="1">
      <c r="E938" s="30"/>
      <c r="F938" s="31"/>
    </row>
    <row r="939" ht="15.75" customHeight="1">
      <c r="E939" s="30"/>
      <c r="F939" s="31"/>
    </row>
    <row r="940" ht="15.75" customHeight="1">
      <c r="E940" s="30"/>
      <c r="F940" s="31"/>
    </row>
    <row r="941" ht="15.75" customHeight="1">
      <c r="E941" s="30"/>
      <c r="F941" s="31"/>
    </row>
    <row r="942" ht="15.75" customHeight="1">
      <c r="E942" s="30"/>
      <c r="F942" s="31"/>
    </row>
    <row r="943" ht="15.75" customHeight="1">
      <c r="E943" s="30"/>
      <c r="F943" s="31"/>
    </row>
    <row r="944" ht="15.75" customHeight="1">
      <c r="E944" s="30"/>
      <c r="F944" s="31"/>
    </row>
    <row r="945" ht="15.75" customHeight="1">
      <c r="E945" s="30"/>
      <c r="F945" s="31"/>
    </row>
    <row r="946" ht="15.75" customHeight="1">
      <c r="E946" s="30"/>
      <c r="F946" s="31"/>
    </row>
    <row r="947" ht="15.75" customHeight="1">
      <c r="E947" s="30"/>
      <c r="F947" s="31"/>
    </row>
    <row r="948" ht="15.75" customHeight="1">
      <c r="E948" s="30"/>
      <c r="F948" s="31"/>
    </row>
    <row r="949" ht="15.75" customHeight="1">
      <c r="E949" s="30"/>
      <c r="F949" s="31"/>
    </row>
    <row r="950" ht="15.75" customHeight="1">
      <c r="E950" s="30"/>
      <c r="F950" s="31"/>
    </row>
    <row r="951" ht="15.75" customHeight="1">
      <c r="E951" s="30"/>
      <c r="F951" s="31"/>
    </row>
    <row r="952" ht="15.75" customHeight="1">
      <c r="E952" s="30"/>
      <c r="F952" s="31"/>
    </row>
    <row r="953" ht="15.75" customHeight="1">
      <c r="E953" s="30"/>
      <c r="F953" s="31"/>
    </row>
    <row r="954" ht="15.75" customHeight="1">
      <c r="E954" s="30"/>
      <c r="F954" s="31"/>
    </row>
    <row r="955" ht="15.75" customHeight="1">
      <c r="E955" s="30"/>
      <c r="F955" s="31"/>
    </row>
    <row r="956" ht="15.75" customHeight="1">
      <c r="E956" s="30"/>
      <c r="F956" s="31"/>
    </row>
    <row r="957" ht="15.75" customHeight="1">
      <c r="E957" s="30"/>
      <c r="F957" s="31"/>
    </row>
    <row r="958" ht="15.75" customHeight="1">
      <c r="E958" s="30"/>
      <c r="F958" s="31"/>
    </row>
    <row r="959" ht="15.75" customHeight="1">
      <c r="E959" s="30"/>
      <c r="F959" s="31"/>
    </row>
    <row r="960" ht="15.75" customHeight="1">
      <c r="E960" s="30"/>
      <c r="F960" s="31"/>
    </row>
    <row r="961" ht="15.75" customHeight="1">
      <c r="E961" s="30"/>
      <c r="F961" s="31"/>
    </row>
    <row r="962" ht="15.75" customHeight="1">
      <c r="E962" s="30"/>
      <c r="F962" s="31"/>
    </row>
    <row r="963" ht="15.75" customHeight="1">
      <c r="E963" s="30"/>
      <c r="F963" s="31"/>
    </row>
    <row r="964" ht="15.75" customHeight="1">
      <c r="E964" s="30"/>
      <c r="F964" s="31"/>
    </row>
    <row r="965" ht="15.75" customHeight="1">
      <c r="E965" s="30"/>
      <c r="F965" s="31"/>
    </row>
    <row r="966" ht="15.75" customHeight="1">
      <c r="E966" s="30"/>
      <c r="F966" s="31"/>
    </row>
    <row r="967" ht="15.75" customHeight="1">
      <c r="E967" s="30"/>
      <c r="F967" s="31"/>
    </row>
    <row r="968" ht="15.75" customHeight="1">
      <c r="E968" s="30"/>
      <c r="F968" s="31"/>
    </row>
    <row r="969" ht="15.75" customHeight="1">
      <c r="E969" s="30"/>
      <c r="F969" s="31"/>
    </row>
    <row r="970" ht="15.75" customHeight="1">
      <c r="E970" s="30"/>
      <c r="F970" s="31"/>
    </row>
    <row r="971" ht="15.75" customHeight="1">
      <c r="E971" s="30"/>
      <c r="F971" s="31"/>
    </row>
    <row r="972" ht="15.75" customHeight="1">
      <c r="E972" s="30"/>
      <c r="F972" s="31"/>
    </row>
    <row r="973" ht="15.75" customHeight="1">
      <c r="E973" s="30"/>
      <c r="F973" s="31"/>
    </row>
    <row r="974" ht="15.75" customHeight="1">
      <c r="E974" s="30"/>
      <c r="F974" s="31"/>
    </row>
    <row r="975" ht="15.75" customHeight="1">
      <c r="E975" s="30"/>
      <c r="F975" s="31"/>
    </row>
    <row r="976" ht="15.75" customHeight="1">
      <c r="E976" s="30"/>
      <c r="F976" s="31"/>
    </row>
    <row r="977" ht="15.75" customHeight="1">
      <c r="E977" s="30"/>
      <c r="F977" s="31"/>
    </row>
    <row r="978" ht="15.75" customHeight="1">
      <c r="E978" s="30"/>
      <c r="F978" s="31"/>
    </row>
    <row r="979" ht="15.75" customHeight="1">
      <c r="E979" s="30"/>
      <c r="F979" s="31"/>
    </row>
    <row r="980" ht="15.75" customHeight="1">
      <c r="E980" s="30"/>
      <c r="F980" s="31"/>
    </row>
    <row r="981" ht="15.75" customHeight="1">
      <c r="E981" s="30"/>
      <c r="F981" s="31"/>
    </row>
    <row r="982" ht="15.75" customHeight="1">
      <c r="E982" s="30"/>
      <c r="F982" s="31"/>
    </row>
    <row r="983" ht="15.75" customHeight="1">
      <c r="E983" s="30"/>
      <c r="F983" s="31"/>
    </row>
    <row r="984" ht="15.75" customHeight="1">
      <c r="E984" s="30"/>
      <c r="F984" s="31"/>
    </row>
    <row r="985" ht="15.75" customHeight="1">
      <c r="E985" s="30"/>
      <c r="F985" s="31"/>
    </row>
    <row r="986" ht="15.75" customHeight="1">
      <c r="E986" s="30"/>
      <c r="F986" s="31"/>
    </row>
    <row r="987" ht="15.75" customHeight="1">
      <c r="E987" s="30"/>
      <c r="F987" s="31"/>
    </row>
    <row r="988" ht="15.75" customHeight="1">
      <c r="E988" s="30"/>
      <c r="F988" s="31"/>
    </row>
    <row r="989" ht="15.75" customHeight="1">
      <c r="E989" s="30"/>
      <c r="F989" s="31"/>
    </row>
    <row r="990" ht="15.75" customHeight="1">
      <c r="E990" s="30"/>
      <c r="F990" s="31"/>
    </row>
    <row r="991" ht="15.75" customHeight="1">
      <c r="E991" s="30"/>
      <c r="F991" s="31"/>
    </row>
    <row r="992" ht="15.75" customHeight="1">
      <c r="E992" s="30"/>
      <c r="F992" s="31"/>
    </row>
    <row r="993" ht="15.75" customHeight="1">
      <c r="E993" s="30"/>
      <c r="F993" s="31"/>
    </row>
    <row r="994" ht="15.75" customHeight="1">
      <c r="E994" s="30"/>
      <c r="F994" s="31"/>
    </row>
    <row r="995" ht="15.75" customHeight="1">
      <c r="E995" s="30"/>
      <c r="F995" s="31"/>
    </row>
    <row r="996" ht="15.75" customHeight="1">
      <c r="E996" s="30"/>
      <c r="F996" s="31"/>
    </row>
    <row r="997" ht="15.75" customHeight="1">
      <c r="E997" s="30"/>
      <c r="F997" s="31"/>
    </row>
    <row r="998" ht="15.75" customHeight="1">
      <c r="E998" s="30"/>
      <c r="F998" s="31"/>
    </row>
    <row r="999" ht="15.75" customHeight="1">
      <c r="E999" s="30"/>
      <c r="F999" s="31"/>
    </row>
    <row r="1000" ht="15.75" customHeight="1">
      <c r="E1000" s="30"/>
      <c r="F1000" s="3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16.86"/>
    <col customWidth="1" min="3" max="3" width="12.86"/>
    <col customWidth="1" min="4" max="4" width="18.71"/>
    <col customWidth="1" min="5" max="5" width="25.14"/>
    <col customWidth="1" min="6" max="6" width="11.71"/>
    <col customWidth="1" min="7" max="7" width="23.86"/>
    <col customWidth="1" min="8" max="8" width="22.43"/>
    <col customWidth="1" min="9" max="9" width="16.0"/>
    <col customWidth="1" min="10" max="10" width="13.43"/>
  </cols>
  <sheetData>
    <row r="1">
      <c r="A1" s="24" t="s">
        <v>31</v>
      </c>
      <c r="B1" s="24" t="s">
        <v>205</v>
      </c>
      <c r="C1" s="24" t="s">
        <v>206</v>
      </c>
      <c r="D1" s="24" t="s">
        <v>207</v>
      </c>
      <c r="E1" s="24" t="s">
        <v>208</v>
      </c>
      <c r="F1" s="24" t="s">
        <v>209</v>
      </c>
      <c r="G1" s="24" t="s">
        <v>210</v>
      </c>
      <c r="H1" s="24" t="s">
        <v>211</v>
      </c>
      <c r="I1" s="24" t="s">
        <v>212</v>
      </c>
      <c r="J1" s="33" t="s">
        <v>213</v>
      </c>
      <c r="K1" s="26" t="s">
        <v>35</v>
      </c>
      <c r="L1" s="27" t="s">
        <v>36</v>
      </c>
    </row>
    <row r="2">
      <c r="A2" s="28" t="s">
        <v>37</v>
      </c>
      <c r="B2" s="29">
        <v>45.0</v>
      </c>
      <c r="C2" s="29">
        <v>22.0</v>
      </c>
      <c r="D2" s="29">
        <v>3.0</v>
      </c>
      <c r="E2" s="29">
        <v>19.0</v>
      </c>
      <c r="F2" s="29">
        <v>13.0</v>
      </c>
      <c r="G2" s="28">
        <v>0.5</v>
      </c>
      <c r="H2" s="28">
        <v>0.45</v>
      </c>
      <c r="I2" s="29">
        <v>10.0</v>
      </c>
      <c r="J2" s="34">
        <f t="shared" ref="J2:J169" si="1">D2 / C2</f>
        <v>0.1363636364</v>
      </c>
      <c r="K2" s="30" t="str">
        <f t="shared" ref="K2:K170" si="2">RIGHT(A2, 2)</f>
        <v>23</v>
      </c>
      <c r="L2" s="31" t="str">
        <f t="shared" ref="L2:L170" si="3">LEFT(A2, 10)</f>
        <v>2016-11-13</v>
      </c>
    </row>
    <row r="3">
      <c r="A3" s="28" t="s">
        <v>38</v>
      </c>
      <c r="B3" s="29">
        <v>58.0</v>
      </c>
      <c r="C3" s="29">
        <v>23.0</v>
      </c>
      <c r="D3" s="29">
        <v>5.0</v>
      </c>
      <c r="E3" s="29">
        <v>18.0</v>
      </c>
      <c r="F3" s="29">
        <v>18.0</v>
      </c>
      <c r="G3" s="28">
        <v>0.4</v>
      </c>
      <c r="H3" s="28">
        <v>0.52</v>
      </c>
      <c r="I3" s="29">
        <v>12.0</v>
      </c>
      <c r="J3" s="34">
        <f t="shared" si="1"/>
        <v>0.2173913043</v>
      </c>
      <c r="K3" s="30" t="str">
        <f t="shared" si="2"/>
        <v>22</v>
      </c>
      <c r="L3" s="31" t="str">
        <f t="shared" si="3"/>
        <v>2016-11-13</v>
      </c>
    </row>
    <row r="4">
      <c r="A4" s="28" t="s">
        <v>39</v>
      </c>
      <c r="B4" s="29">
        <v>72.0</v>
      </c>
      <c r="C4" s="29">
        <v>24.0</v>
      </c>
      <c r="D4" s="29">
        <v>6.0</v>
      </c>
      <c r="E4" s="29">
        <v>19.0</v>
      </c>
      <c r="F4" s="29">
        <v>20.0</v>
      </c>
      <c r="G4" s="28">
        <v>0.3</v>
      </c>
      <c r="H4" s="28">
        <v>0.71</v>
      </c>
      <c r="I4" s="29">
        <v>17.0</v>
      </c>
      <c r="J4" s="34">
        <f t="shared" si="1"/>
        <v>0.25</v>
      </c>
      <c r="K4" s="30" t="str">
        <f t="shared" si="2"/>
        <v>21</v>
      </c>
      <c r="L4" s="31" t="str">
        <f t="shared" si="3"/>
        <v>2016-11-13</v>
      </c>
    </row>
    <row r="5">
      <c r="A5" s="28" t="s">
        <v>40</v>
      </c>
      <c r="B5" s="29">
        <v>74.0</v>
      </c>
      <c r="C5" s="29">
        <v>30.0</v>
      </c>
      <c r="D5" s="29">
        <v>5.0</v>
      </c>
      <c r="E5" s="29">
        <v>25.0</v>
      </c>
      <c r="F5" s="29">
        <v>17.0</v>
      </c>
      <c r="G5" s="28">
        <v>0.4</v>
      </c>
      <c r="H5" s="28">
        <v>0.47</v>
      </c>
      <c r="I5" s="29">
        <v>14.0</v>
      </c>
      <c r="J5" s="34">
        <f t="shared" si="1"/>
        <v>0.1666666667</v>
      </c>
      <c r="K5" s="30" t="str">
        <f t="shared" si="2"/>
        <v>20</v>
      </c>
      <c r="L5" s="31" t="str">
        <f t="shared" si="3"/>
        <v>2016-11-13</v>
      </c>
    </row>
    <row r="6">
      <c r="A6" s="28" t="s">
        <v>41</v>
      </c>
      <c r="B6" s="29">
        <v>58.0</v>
      </c>
      <c r="C6" s="29">
        <v>26.0</v>
      </c>
      <c r="D6" s="29">
        <v>4.0</v>
      </c>
      <c r="E6" s="29">
        <v>22.0</v>
      </c>
      <c r="F6" s="29">
        <v>17.0</v>
      </c>
      <c r="G6" s="28">
        <v>0.4</v>
      </c>
      <c r="H6" s="28">
        <v>0.46</v>
      </c>
      <c r="I6" s="29">
        <v>12.0</v>
      </c>
      <c r="J6" s="34">
        <f t="shared" si="1"/>
        <v>0.1538461538</v>
      </c>
      <c r="K6" s="30" t="str">
        <f t="shared" si="2"/>
        <v>19</v>
      </c>
      <c r="L6" s="31" t="str">
        <f t="shared" si="3"/>
        <v>2016-11-13</v>
      </c>
    </row>
    <row r="7">
      <c r="A7" s="28" t="s">
        <v>42</v>
      </c>
      <c r="B7" s="29">
        <v>64.0</v>
      </c>
      <c r="C7" s="29">
        <v>25.0</v>
      </c>
      <c r="D7" s="29">
        <v>6.0</v>
      </c>
      <c r="E7" s="29">
        <v>19.0</v>
      </c>
      <c r="F7" s="29">
        <v>14.0</v>
      </c>
      <c r="G7" s="28">
        <v>0.4</v>
      </c>
      <c r="H7" s="28">
        <v>0.44</v>
      </c>
      <c r="I7" s="29">
        <v>11.0</v>
      </c>
      <c r="J7" s="34">
        <f t="shared" si="1"/>
        <v>0.24</v>
      </c>
      <c r="K7" s="30" t="str">
        <f t="shared" si="2"/>
        <v>18</v>
      </c>
      <c r="L7" s="31" t="str">
        <f t="shared" si="3"/>
        <v>2016-11-13</v>
      </c>
    </row>
    <row r="8">
      <c r="A8" s="28" t="s">
        <v>43</v>
      </c>
      <c r="B8" s="29">
        <v>60.0</v>
      </c>
      <c r="C8" s="29">
        <v>21.0</v>
      </c>
      <c r="D8" s="29">
        <v>5.0</v>
      </c>
      <c r="E8" s="29">
        <v>15.0</v>
      </c>
      <c r="F8" s="29">
        <v>18.0</v>
      </c>
      <c r="G8" s="28">
        <v>0.3</v>
      </c>
      <c r="H8" s="28">
        <v>0.76</v>
      </c>
      <c r="I8" s="29">
        <v>16.0</v>
      </c>
      <c r="J8" s="34">
        <f t="shared" si="1"/>
        <v>0.2380952381</v>
      </c>
      <c r="K8" s="30" t="str">
        <f t="shared" si="2"/>
        <v>17</v>
      </c>
      <c r="L8" s="31" t="str">
        <f t="shared" si="3"/>
        <v>2016-11-13</v>
      </c>
    </row>
    <row r="9">
      <c r="A9" s="28" t="s">
        <v>44</v>
      </c>
      <c r="B9" s="29">
        <v>61.0</v>
      </c>
      <c r="C9" s="29">
        <v>24.0</v>
      </c>
      <c r="D9" s="29">
        <v>4.0</v>
      </c>
      <c r="E9" s="29">
        <v>20.0</v>
      </c>
      <c r="F9" s="29">
        <v>18.0</v>
      </c>
      <c r="G9" s="28">
        <v>0.4</v>
      </c>
      <c r="H9" s="28">
        <v>0.5</v>
      </c>
      <c r="I9" s="29">
        <v>12.0</v>
      </c>
      <c r="J9" s="34">
        <f t="shared" si="1"/>
        <v>0.1666666667</v>
      </c>
      <c r="K9" s="30" t="str">
        <f t="shared" si="2"/>
        <v>16</v>
      </c>
      <c r="L9" s="31" t="str">
        <f t="shared" si="3"/>
        <v>2016-11-13</v>
      </c>
    </row>
    <row r="10">
      <c r="A10" s="28" t="s">
        <v>45</v>
      </c>
      <c r="B10" s="29">
        <v>54.0</v>
      </c>
      <c r="C10" s="29">
        <v>19.0</v>
      </c>
      <c r="D10" s="29">
        <v>5.0</v>
      </c>
      <c r="E10" s="29">
        <v>14.0</v>
      </c>
      <c r="F10" s="29">
        <v>17.0</v>
      </c>
      <c r="G10" s="28">
        <v>0.4</v>
      </c>
      <c r="H10" s="28">
        <v>0.37</v>
      </c>
      <c r="I10" s="29">
        <v>7.0</v>
      </c>
      <c r="J10" s="34">
        <f t="shared" si="1"/>
        <v>0.2631578947</v>
      </c>
      <c r="K10" s="30" t="str">
        <f t="shared" si="2"/>
        <v>15</v>
      </c>
      <c r="L10" s="31" t="str">
        <f t="shared" si="3"/>
        <v>2016-11-13</v>
      </c>
    </row>
    <row r="11">
      <c r="A11" s="28" t="s">
        <v>46</v>
      </c>
      <c r="B11" s="29">
        <v>48.0</v>
      </c>
      <c r="C11" s="29">
        <v>14.0</v>
      </c>
      <c r="D11" s="29">
        <v>4.0</v>
      </c>
      <c r="E11" s="29">
        <v>11.0</v>
      </c>
      <c r="F11" s="29">
        <v>15.0</v>
      </c>
      <c r="G11" s="28">
        <v>0.3</v>
      </c>
      <c r="H11" s="28">
        <v>0.79</v>
      </c>
      <c r="I11" s="29">
        <v>11.0</v>
      </c>
      <c r="J11" s="34">
        <f t="shared" si="1"/>
        <v>0.2857142857</v>
      </c>
      <c r="K11" s="30" t="str">
        <f t="shared" si="2"/>
        <v>14</v>
      </c>
      <c r="L11" s="31" t="str">
        <f t="shared" si="3"/>
        <v>2016-11-13</v>
      </c>
    </row>
    <row r="12">
      <c r="A12" s="28" t="s">
        <v>47</v>
      </c>
      <c r="B12" s="29">
        <v>45.0</v>
      </c>
      <c r="C12" s="29">
        <v>16.0</v>
      </c>
      <c r="D12" s="29">
        <v>6.0</v>
      </c>
      <c r="E12" s="29">
        <v>10.0</v>
      </c>
      <c r="F12" s="29">
        <v>13.0</v>
      </c>
      <c r="G12" s="28">
        <v>0.4</v>
      </c>
      <c r="H12" s="28">
        <v>0.69</v>
      </c>
      <c r="I12" s="29">
        <v>11.0</v>
      </c>
      <c r="J12" s="34">
        <f t="shared" si="1"/>
        <v>0.375</v>
      </c>
      <c r="K12" s="30" t="str">
        <f t="shared" si="2"/>
        <v>13</v>
      </c>
      <c r="L12" s="31" t="str">
        <f t="shared" si="3"/>
        <v>2016-11-13</v>
      </c>
    </row>
    <row r="13">
      <c r="A13" s="28" t="s">
        <v>48</v>
      </c>
      <c r="B13" s="29">
        <v>45.0</v>
      </c>
      <c r="C13" s="29">
        <v>18.0</v>
      </c>
      <c r="D13" s="29">
        <v>3.0</v>
      </c>
      <c r="E13" s="29">
        <v>15.0</v>
      </c>
      <c r="F13" s="29">
        <v>13.0</v>
      </c>
      <c r="G13" s="28">
        <v>0.4</v>
      </c>
      <c r="H13" s="28">
        <v>0.39</v>
      </c>
      <c r="I13" s="29">
        <v>7.0</v>
      </c>
      <c r="J13" s="34">
        <f t="shared" si="1"/>
        <v>0.1666666667</v>
      </c>
      <c r="K13" s="30" t="str">
        <f t="shared" si="2"/>
        <v>12</v>
      </c>
      <c r="L13" s="31" t="str">
        <f t="shared" si="3"/>
        <v>2016-11-13</v>
      </c>
    </row>
    <row r="14">
      <c r="A14" s="28" t="s">
        <v>49</v>
      </c>
      <c r="B14" s="29">
        <v>39.0</v>
      </c>
      <c r="C14" s="29">
        <v>15.0</v>
      </c>
      <c r="D14" s="29">
        <v>2.0</v>
      </c>
      <c r="E14" s="29">
        <v>14.0</v>
      </c>
      <c r="F14" s="29">
        <v>10.0</v>
      </c>
      <c r="G14" s="28">
        <v>0.4</v>
      </c>
      <c r="H14" s="28">
        <v>0.33</v>
      </c>
      <c r="I14" s="29">
        <v>5.0</v>
      </c>
      <c r="J14" s="34">
        <f t="shared" si="1"/>
        <v>0.1333333333</v>
      </c>
      <c r="K14" s="30" t="str">
        <f t="shared" si="2"/>
        <v>11</v>
      </c>
      <c r="L14" s="31" t="str">
        <f t="shared" si="3"/>
        <v>2016-11-13</v>
      </c>
    </row>
    <row r="15">
      <c r="A15" s="28" t="s">
        <v>50</v>
      </c>
      <c r="B15" s="29">
        <v>36.0</v>
      </c>
      <c r="C15" s="29">
        <v>11.0</v>
      </c>
      <c r="D15" s="29">
        <v>2.0</v>
      </c>
      <c r="E15" s="29">
        <v>9.0</v>
      </c>
      <c r="F15" s="29">
        <v>12.0</v>
      </c>
      <c r="G15" s="28">
        <v>0.3</v>
      </c>
      <c r="H15" s="28">
        <v>0.45</v>
      </c>
      <c r="I15" s="29">
        <v>5.0</v>
      </c>
      <c r="J15" s="34">
        <f t="shared" si="1"/>
        <v>0.1818181818</v>
      </c>
      <c r="K15" s="30" t="str">
        <f t="shared" si="2"/>
        <v>10</v>
      </c>
      <c r="L15" s="31" t="str">
        <f t="shared" si="3"/>
        <v>2016-11-13</v>
      </c>
    </row>
    <row r="16">
      <c r="A16" s="28" t="s">
        <v>51</v>
      </c>
      <c r="B16" s="29">
        <v>33.0</v>
      </c>
      <c r="C16" s="29">
        <v>12.0</v>
      </c>
      <c r="D16" s="29">
        <v>1.0</v>
      </c>
      <c r="E16" s="29">
        <v>11.0</v>
      </c>
      <c r="F16" s="29">
        <v>12.0</v>
      </c>
      <c r="G16" s="28">
        <v>0.4</v>
      </c>
      <c r="H16" s="28">
        <v>0.42</v>
      </c>
      <c r="I16" s="29">
        <v>5.0</v>
      </c>
      <c r="J16" s="34">
        <f t="shared" si="1"/>
        <v>0.08333333333</v>
      </c>
      <c r="K16" s="30" t="str">
        <f t="shared" si="2"/>
        <v>09</v>
      </c>
      <c r="L16" s="31" t="str">
        <f t="shared" si="3"/>
        <v>2016-11-13</v>
      </c>
    </row>
    <row r="17">
      <c r="A17" s="28" t="s">
        <v>52</v>
      </c>
      <c r="B17" s="29">
        <v>38.0</v>
      </c>
      <c r="C17" s="29">
        <v>13.0</v>
      </c>
      <c r="D17" s="29">
        <v>2.0</v>
      </c>
      <c r="E17" s="29">
        <v>11.0</v>
      </c>
      <c r="F17" s="29">
        <v>8.0</v>
      </c>
      <c r="G17" s="28">
        <v>0.3</v>
      </c>
      <c r="H17" s="28">
        <v>0.46</v>
      </c>
      <c r="I17" s="29">
        <v>6.0</v>
      </c>
      <c r="J17" s="34">
        <f t="shared" si="1"/>
        <v>0.1538461538</v>
      </c>
      <c r="K17" s="30" t="str">
        <f t="shared" si="2"/>
        <v>08</v>
      </c>
      <c r="L17" s="31" t="str">
        <f t="shared" si="3"/>
        <v>2016-11-13</v>
      </c>
    </row>
    <row r="18">
      <c r="A18" s="28" t="s">
        <v>53</v>
      </c>
      <c r="B18" s="29">
        <v>28.0</v>
      </c>
      <c r="C18" s="29">
        <v>10.0</v>
      </c>
      <c r="D18" s="29">
        <v>1.0</v>
      </c>
      <c r="E18" s="29">
        <v>9.0</v>
      </c>
      <c r="F18" s="29">
        <v>7.0</v>
      </c>
      <c r="G18" s="28">
        <v>0.4</v>
      </c>
      <c r="H18" s="28">
        <v>0.3</v>
      </c>
      <c r="I18" s="29">
        <v>3.0</v>
      </c>
      <c r="J18" s="34">
        <f t="shared" si="1"/>
        <v>0.1</v>
      </c>
      <c r="K18" s="30" t="str">
        <f t="shared" si="2"/>
        <v>07</v>
      </c>
      <c r="L18" s="31" t="str">
        <f t="shared" si="3"/>
        <v>2016-11-13</v>
      </c>
    </row>
    <row r="19">
      <c r="A19" s="28" t="s">
        <v>54</v>
      </c>
      <c r="B19" s="29">
        <v>37.0</v>
      </c>
      <c r="C19" s="29">
        <v>11.0</v>
      </c>
      <c r="D19" s="29">
        <v>2.0</v>
      </c>
      <c r="E19" s="29">
        <v>10.0</v>
      </c>
      <c r="F19" s="29">
        <v>8.0</v>
      </c>
      <c r="G19" s="28">
        <v>0.3</v>
      </c>
      <c r="H19" s="28">
        <v>0.27</v>
      </c>
      <c r="I19" s="29">
        <v>3.0</v>
      </c>
      <c r="J19" s="34">
        <f t="shared" si="1"/>
        <v>0.1818181818</v>
      </c>
      <c r="K19" s="30" t="str">
        <f t="shared" si="2"/>
        <v>06</v>
      </c>
      <c r="L19" s="31" t="str">
        <f t="shared" si="3"/>
        <v>2016-11-13</v>
      </c>
    </row>
    <row r="20">
      <c r="A20" s="28" t="s">
        <v>55</v>
      </c>
      <c r="B20" s="29">
        <v>32.0</v>
      </c>
      <c r="C20" s="29">
        <v>13.0</v>
      </c>
      <c r="D20" s="29">
        <v>4.0</v>
      </c>
      <c r="E20" s="29">
        <v>9.0</v>
      </c>
      <c r="F20" s="29">
        <v>10.0</v>
      </c>
      <c r="G20" s="28">
        <v>0.4</v>
      </c>
      <c r="H20" s="28">
        <v>0.54</v>
      </c>
      <c r="I20" s="29">
        <v>7.0</v>
      </c>
      <c r="J20" s="34">
        <f t="shared" si="1"/>
        <v>0.3076923077</v>
      </c>
      <c r="K20" s="30" t="str">
        <f t="shared" si="2"/>
        <v>05</v>
      </c>
      <c r="L20" s="31" t="str">
        <f t="shared" si="3"/>
        <v>2016-11-13</v>
      </c>
    </row>
    <row r="21" ht="15.75" customHeight="1">
      <c r="A21" s="28" t="s">
        <v>56</v>
      </c>
      <c r="B21" s="29">
        <v>33.0</v>
      </c>
      <c r="C21" s="29">
        <v>10.0</v>
      </c>
      <c r="D21" s="29">
        <v>4.0</v>
      </c>
      <c r="E21" s="29">
        <v>6.0</v>
      </c>
      <c r="F21" s="29">
        <v>11.0</v>
      </c>
      <c r="G21" s="28">
        <v>0.3</v>
      </c>
      <c r="H21" s="28">
        <v>1.0</v>
      </c>
      <c r="I21" s="29">
        <v>10.0</v>
      </c>
      <c r="J21" s="34">
        <f t="shared" si="1"/>
        <v>0.4</v>
      </c>
      <c r="K21" s="30" t="str">
        <f t="shared" si="2"/>
        <v>04</v>
      </c>
      <c r="L21" s="31" t="str">
        <f t="shared" si="3"/>
        <v>2016-11-13</v>
      </c>
    </row>
    <row r="22" ht="15.75" customHeight="1">
      <c r="A22" s="28" t="s">
        <v>57</v>
      </c>
      <c r="B22" s="29">
        <v>42.0</v>
      </c>
      <c r="C22" s="29">
        <v>15.0</v>
      </c>
      <c r="D22" s="29">
        <v>6.0</v>
      </c>
      <c r="E22" s="29">
        <v>9.0</v>
      </c>
      <c r="F22" s="29">
        <v>13.0</v>
      </c>
      <c r="G22" s="28">
        <v>0.4</v>
      </c>
      <c r="H22" s="28">
        <v>1.27</v>
      </c>
      <c r="I22" s="29">
        <v>19.0</v>
      </c>
      <c r="J22" s="34">
        <f t="shared" si="1"/>
        <v>0.4</v>
      </c>
      <c r="K22" s="30" t="str">
        <f t="shared" si="2"/>
        <v>03</v>
      </c>
      <c r="L22" s="31" t="str">
        <f t="shared" si="3"/>
        <v>2016-11-13</v>
      </c>
    </row>
    <row r="23" ht="15.75" customHeight="1">
      <c r="A23" s="28" t="s">
        <v>58</v>
      </c>
      <c r="B23" s="29">
        <v>47.0</v>
      </c>
      <c r="C23" s="29">
        <v>20.0</v>
      </c>
      <c r="D23" s="29">
        <v>7.0</v>
      </c>
      <c r="E23" s="29">
        <v>14.0</v>
      </c>
      <c r="F23" s="29">
        <v>11.0</v>
      </c>
      <c r="G23" s="28">
        <v>0.4</v>
      </c>
      <c r="H23" s="28">
        <v>1.25</v>
      </c>
      <c r="I23" s="29">
        <v>25.0</v>
      </c>
      <c r="J23" s="34">
        <f t="shared" si="1"/>
        <v>0.35</v>
      </c>
      <c r="K23" s="30" t="str">
        <f t="shared" si="2"/>
        <v>02</v>
      </c>
      <c r="L23" s="31" t="str">
        <f t="shared" si="3"/>
        <v>2016-11-13</v>
      </c>
    </row>
    <row r="24" ht="15.75" customHeight="1">
      <c r="A24" s="28" t="s">
        <v>59</v>
      </c>
      <c r="B24" s="29">
        <v>60.0</v>
      </c>
      <c r="C24" s="29">
        <v>25.0</v>
      </c>
      <c r="D24" s="29">
        <v>8.0</v>
      </c>
      <c r="E24" s="29">
        <v>17.0</v>
      </c>
      <c r="F24" s="29">
        <v>14.0</v>
      </c>
      <c r="G24" s="28">
        <v>0.4</v>
      </c>
      <c r="H24" s="28">
        <v>0.56</v>
      </c>
      <c r="I24" s="29">
        <v>14.0</v>
      </c>
      <c r="J24" s="34">
        <f t="shared" si="1"/>
        <v>0.32</v>
      </c>
      <c r="K24" s="30" t="str">
        <f t="shared" si="2"/>
        <v>01</v>
      </c>
      <c r="L24" s="31" t="str">
        <f t="shared" si="3"/>
        <v>2016-11-13</v>
      </c>
    </row>
    <row r="25" ht="15.75" customHeight="1">
      <c r="A25" s="28" t="s">
        <v>60</v>
      </c>
      <c r="B25" s="29">
        <v>58.0</v>
      </c>
      <c r="C25" s="29">
        <v>24.0</v>
      </c>
      <c r="D25" s="29">
        <v>12.0</v>
      </c>
      <c r="E25" s="29">
        <v>12.0</v>
      </c>
      <c r="F25" s="29">
        <v>16.0</v>
      </c>
      <c r="G25" s="28">
        <v>0.4</v>
      </c>
      <c r="H25" s="28">
        <v>1.33</v>
      </c>
      <c r="I25" s="29">
        <v>32.0</v>
      </c>
      <c r="J25" s="34">
        <f t="shared" si="1"/>
        <v>0.5</v>
      </c>
      <c r="K25" s="30" t="str">
        <f t="shared" si="2"/>
        <v>00</v>
      </c>
      <c r="L25" s="31" t="str">
        <f t="shared" si="3"/>
        <v>2016-11-13</v>
      </c>
    </row>
    <row r="26" ht="15.75" customHeight="1">
      <c r="A26" s="28" t="s">
        <v>61</v>
      </c>
      <c r="B26" s="29">
        <v>67.0</v>
      </c>
      <c r="C26" s="29">
        <v>29.0</v>
      </c>
      <c r="D26" s="29">
        <v>14.0</v>
      </c>
      <c r="E26" s="29">
        <v>15.0</v>
      </c>
      <c r="F26" s="29">
        <v>17.0</v>
      </c>
      <c r="G26" s="28">
        <v>0.4</v>
      </c>
      <c r="H26" s="28">
        <v>1.48</v>
      </c>
      <c r="I26" s="29">
        <v>43.0</v>
      </c>
      <c r="J26" s="34">
        <f t="shared" si="1"/>
        <v>0.4827586207</v>
      </c>
      <c r="K26" s="30" t="str">
        <f t="shared" si="2"/>
        <v>23</v>
      </c>
      <c r="L26" s="31" t="str">
        <f t="shared" si="3"/>
        <v>2016-11-12</v>
      </c>
    </row>
    <row r="27" ht="15.75" customHeight="1">
      <c r="A27" s="28" t="s">
        <v>62</v>
      </c>
      <c r="B27" s="29">
        <v>68.0</v>
      </c>
      <c r="C27" s="29">
        <v>30.0</v>
      </c>
      <c r="D27" s="29">
        <v>8.0</v>
      </c>
      <c r="E27" s="29">
        <v>22.0</v>
      </c>
      <c r="F27" s="29">
        <v>21.0</v>
      </c>
      <c r="G27" s="28">
        <v>0.4</v>
      </c>
      <c r="H27" s="28">
        <v>0.73</v>
      </c>
      <c r="I27" s="29">
        <v>22.0</v>
      </c>
      <c r="J27" s="34">
        <f t="shared" si="1"/>
        <v>0.2666666667</v>
      </c>
      <c r="K27" s="30" t="str">
        <f t="shared" si="2"/>
        <v>22</v>
      </c>
      <c r="L27" s="31" t="str">
        <f t="shared" si="3"/>
        <v>2016-11-12</v>
      </c>
    </row>
    <row r="28" ht="15.75" customHeight="1">
      <c r="A28" s="28" t="s">
        <v>63</v>
      </c>
      <c r="B28" s="29">
        <v>73.0</v>
      </c>
      <c r="C28" s="29">
        <v>30.0</v>
      </c>
      <c r="D28" s="29">
        <v>4.0</v>
      </c>
      <c r="E28" s="29">
        <v>26.0</v>
      </c>
      <c r="F28" s="29">
        <v>21.0</v>
      </c>
      <c r="G28" s="28">
        <v>0.4</v>
      </c>
      <c r="H28" s="28">
        <v>0.4</v>
      </c>
      <c r="I28" s="29">
        <v>12.0</v>
      </c>
      <c r="J28" s="34">
        <f t="shared" si="1"/>
        <v>0.1333333333</v>
      </c>
      <c r="K28" s="30" t="str">
        <f t="shared" si="2"/>
        <v>21</v>
      </c>
      <c r="L28" s="31" t="str">
        <f t="shared" si="3"/>
        <v>2016-11-12</v>
      </c>
    </row>
    <row r="29" ht="15.75" customHeight="1">
      <c r="A29" s="28" t="s">
        <v>64</v>
      </c>
      <c r="B29" s="29">
        <v>76.0</v>
      </c>
      <c r="C29" s="29">
        <v>28.0</v>
      </c>
      <c r="D29" s="29">
        <v>5.0</v>
      </c>
      <c r="E29" s="29">
        <v>22.0</v>
      </c>
      <c r="F29" s="29">
        <v>24.0</v>
      </c>
      <c r="G29" s="28">
        <v>0.4</v>
      </c>
      <c r="H29" s="28">
        <v>0.5</v>
      </c>
      <c r="I29" s="29">
        <v>14.0</v>
      </c>
      <c r="J29" s="34">
        <f t="shared" si="1"/>
        <v>0.1785714286</v>
      </c>
      <c r="K29" s="30" t="str">
        <f t="shared" si="2"/>
        <v>20</v>
      </c>
      <c r="L29" s="31" t="str">
        <f t="shared" si="3"/>
        <v>2016-11-12</v>
      </c>
    </row>
    <row r="30" ht="15.75" customHeight="1">
      <c r="A30" s="28" t="s">
        <v>65</v>
      </c>
      <c r="B30" s="29">
        <v>72.0</v>
      </c>
      <c r="C30" s="29">
        <v>27.0</v>
      </c>
      <c r="D30" s="29">
        <v>4.0</v>
      </c>
      <c r="E30" s="29">
        <v>23.0</v>
      </c>
      <c r="F30" s="29">
        <v>21.0</v>
      </c>
      <c r="G30" s="28">
        <v>0.4</v>
      </c>
      <c r="H30" s="28">
        <v>0.44</v>
      </c>
      <c r="I30" s="29">
        <v>12.0</v>
      </c>
      <c r="J30" s="34">
        <f t="shared" si="1"/>
        <v>0.1481481481</v>
      </c>
      <c r="K30" s="30" t="str">
        <f t="shared" si="2"/>
        <v>19</v>
      </c>
      <c r="L30" s="31" t="str">
        <f t="shared" si="3"/>
        <v>2016-11-12</v>
      </c>
    </row>
    <row r="31" ht="15.75" customHeight="1">
      <c r="A31" s="28" t="s">
        <v>66</v>
      </c>
      <c r="B31" s="29">
        <v>74.0</v>
      </c>
      <c r="C31" s="29">
        <v>24.0</v>
      </c>
      <c r="D31" s="29">
        <v>6.0</v>
      </c>
      <c r="E31" s="29">
        <v>18.0</v>
      </c>
      <c r="F31" s="29">
        <v>18.0</v>
      </c>
      <c r="G31" s="28">
        <v>0.3</v>
      </c>
      <c r="H31" s="28">
        <v>0.71</v>
      </c>
      <c r="I31" s="29">
        <v>17.0</v>
      </c>
      <c r="J31" s="34">
        <f t="shared" si="1"/>
        <v>0.25</v>
      </c>
      <c r="K31" s="30" t="str">
        <f t="shared" si="2"/>
        <v>18</v>
      </c>
      <c r="L31" s="31" t="str">
        <f t="shared" si="3"/>
        <v>2016-11-12</v>
      </c>
    </row>
    <row r="32" ht="15.75" customHeight="1">
      <c r="A32" s="28" t="s">
        <v>67</v>
      </c>
      <c r="B32" s="29">
        <v>58.0</v>
      </c>
      <c r="C32" s="29">
        <v>20.0</v>
      </c>
      <c r="D32" s="29">
        <v>5.0</v>
      </c>
      <c r="E32" s="29">
        <v>15.0</v>
      </c>
      <c r="F32" s="29">
        <v>16.0</v>
      </c>
      <c r="G32" s="28">
        <v>0.3</v>
      </c>
      <c r="H32" s="28">
        <v>0.7</v>
      </c>
      <c r="I32" s="29">
        <v>14.0</v>
      </c>
      <c r="J32" s="34">
        <f t="shared" si="1"/>
        <v>0.25</v>
      </c>
      <c r="K32" s="30" t="str">
        <f t="shared" si="2"/>
        <v>17</v>
      </c>
      <c r="L32" s="31" t="str">
        <f t="shared" si="3"/>
        <v>2016-11-12</v>
      </c>
    </row>
    <row r="33" ht="15.75" customHeight="1">
      <c r="A33" s="28" t="s">
        <v>68</v>
      </c>
      <c r="B33" s="29">
        <v>63.0</v>
      </c>
      <c r="C33" s="29">
        <v>21.0</v>
      </c>
      <c r="D33" s="29">
        <v>3.0</v>
      </c>
      <c r="E33" s="29">
        <v>18.0</v>
      </c>
      <c r="F33" s="29">
        <v>19.0</v>
      </c>
      <c r="G33" s="28">
        <v>0.3</v>
      </c>
      <c r="H33" s="28">
        <v>0.52</v>
      </c>
      <c r="I33" s="29">
        <v>11.0</v>
      </c>
      <c r="J33" s="34">
        <f t="shared" si="1"/>
        <v>0.1428571429</v>
      </c>
      <c r="K33" s="30" t="str">
        <f t="shared" si="2"/>
        <v>16</v>
      </c>
      <c r="L33" s="31" t="str">
        <f t="shared" si="3"/>
        <v>2016-11-12</v>
      </c>
    </row>
    <row r="34" ht="15.75" customHeight="1">
      <c r="A34" s="28" t="s">
        <v>69</v>
      </c>
      <c r="B34" s="29">
        <v>71.0</v>
      </c>
      <c r="C34" s="29">
        <v>23.0</v>
      </c>
      <c r="D34" s="29">
        <v>3.0</v>
      </c>
      <c r="E34" s="29">
        <v>20.0</v>
      </c>
      <c r="F34" s="29">
        <v>17.0</v>
      </c>
      <c r="G34" s="28">
        <v>0.3</v>
      </c>
      <c r="H34" s="28">
        <v>0.35</v>
      </c>
      <c r="I34" s="29">
        <v>8.0</v>
      </c>
      <c r="J34" s="34">
        <f t="shared" si="1"/>
        <v>0.1304347826</v>
      </c>
      <c r="K34" s="30" t="str">
        <f t="shared" si="2"/>
        <v>15</v>
      </c>
      <c r="L34" s="31" t="str">
        <f t="shared" si="3"/>
        <v>2016-11-12</v>
      </c>
    </row>
    <row r="35" ht="15.75" customHeight="1">
      <c r="A35" s="28" t="s">
        <v>70</v>
      </c>
      <c r="B35" s="29">
        <v>58.0</v>
      </c>
      <c r="C35" s="29">
        <v>19.0</v>
      </c>
      <c r="D35" s="29">
        <v>3.0</v>
      </c>
      <c r="E35" s="29">
        <v>16.0</v>
      </c>
      <c r="F35" s="29">
        <v>17.0</v>
      </c>
      <c r="G35" s="28">
        <v>0.3</v>
      </c>
      <c r="H35" s="28">
        <v>0.37</v>
      </c>
      <c r="I35" s="29">
        <v>7.0</v>
      </c>
      <c r="J35" s="34">
        <f t="shared" si="1"/>
        <v>0.1578947368</v>
      </c>
      <c r="K35" s="30" t="str">
        <f t="shared" si="2"/>
        <v>14</v>
      </c>
      <c r="L35" s="31" t="str">
        <f t="shared" si="3"/>
        <v>2016-11-12</v>
      </c>
    </row>
    <row r="36" ht="15.75" customHeight="1">
      <c r="A36" s="28" t="s">
        <v>71</v>
      </c>
      <c r="B36" s="29">
        <v>57.0</v>
      </c>
      <c r="C36" s="29">
        <v>18.0</v>
      </c>
      <c r="D36" s="29">
        <v>5.0</v>
      </c>
      <c r="E36" s="29">
        <v>13.0</v>
      </c>
      <c r="F36" s="29">
        <v>16.0</v>
      </c>
      <c r="G36" s="28">
        <v>0.3</v>
      </c>
      <c r="H36" s="28">
        <v>0.61</v>
      </c>
      <c r="I36" s="29">
        <v>11.0</v>
      </c>
      <c r="J36" s="34">
        <f t="shared" si="1"/>
        <v>0.2777777778</v>
      </c>
      <c r="K36" s="30" t="str">
        <f t="shared" si="2"/>
        <v>13</v>
      </c>
      <c r="L36" s="31" t="str">
        <f t="shared" si="3"/>
        <v>2016-11-12</v>
      </c>
    </row>
    <row r="37" ht="15.75" customHeight="1">
      <c r="A37" s="28" t="s">
        <v>72</v>
      </c>
      <c r="B37" s="29">
        <v>47.0</v>
      </c>
      <c r="C37" s="29">
        <v>13.0</v>
      </c>
      <c r="D37" s="29">
        <v>3.0</v>
      </c>
      <c r="E37" s="29">
        <v>10.0</v>
      </c>
      <c r="F37" s="29">
        <v>16.0</v>
      </c>
      <c r="G37" s="28">
        <v>0.3</v>
      </c>
      <c r="H37" s="28">
        <v>0.54</v>
      </c>
      <c r="I37" s="29">
        <v>7.0</v>
      </c>
      <c r="J37" s="34">
        <f t="shared" si="1"/>
        <v>0.2307692308</v>
      </c>
      <c r="K37" s="30" t="str">
        <f t="shared" si="2"/>
        <v>12</v>
      </c>
      <c r="L37" s="31" t="str">
        <f t="shared" si="3"/>
        <v>2016-11-12</v>
      </c>
    </row>
    <row r="38" ht="15.75" customHeight="1">
      <c r="A38" s="28" t="s">
        <v>73</v>
      </c>
      <c r="B38" s="29">
        <v>46.0</v>
      </c>
      <c r="C38" s="29">
        <v>12.0</v>
      </c>
      <c r="D38" s="29">
        <v>2.0</v>
      </c>
      <c r="E38" s="29">
        <v>10.0</v>
      </c>
      <c r="F38" s="29">
        <v>13.0</v>
      </c>
      <c r="G38" s="28">
        <v>0.3</v>
      </c>
      <c r="H38" s="28">
        <v>0.33</v>
      </c>
      <c r="I38" s="29">
        <v>4.0</v>
      </c>
      <c r="J38" s="34">
        <f t="shared" si="1"/>
        <v>0.1666666667</v>
      </c>
      <c r="K38" s="30" t="str">
        <f t="shared" si="2"/>
        <v>11</v>
      </c>
      <c r="L38" s="31" t="str">
        <f t="shared" si="3"/>
        <v>2016-11-12</v>
      </c>
    </row>
    <row r="39" ht="15.75" customHeight="1">
      <c r="A39" s="28" t="s">
        <v>74</v>
      </c>
      <c r="B39" s="29">
        <v>40.0</v>
      </c>
      <c r="C39" s="29">
        <v>12.0</v>
      </c>
      <c r="D39" s="29">
        <v>3.0</v>
      </c>
      <c r="E39" s="29">
        <v>10.0</v>
      </c>
      <c r="F39" s="29">
        <v>10.0</v>
      </c>
      <c r="G39" s="28">
        <v>0.3</v>
      </c>
      <c r="H39" s="28">
        <v>0.5</v>
      </c>
      <c r="I39" s="29">
        <v>6.0</v>
      </c>
      <c r="J39" s="34">
        <f t="shared" si="1"/>
        <v>0.25</v>
      </c>
      <c r="K39" s="30" t="str">
        <f t="shared" si="2"/>
        <v>10</v>
      </c>
      <c r="L39" s="31" t="str">
        <f t="shared" si="3"/>
        <v>2016-11-12</v>
      </c>
    </row>
    <row r="40" ht="15.75" customHeight="1">
      <c r="A40" s="28" t="s">
        <v>75</v>
      </c>
      <c r="B40" s="29">
        <v>29.0</v>
      </c>
      <c r="C40" s="29">
        <v>12.0</v>
      </c>
      <c r="D40" s="29">
        <v>2.0</v>
      </c>
      <c r="E40" s="29">
        <v>10.0</v>
      </c>
      <c r="F40" s="29">
        <v>8.0</v>
      </c>
      <c r="G40" s="28">
        <v>0.4</v>
      </c>
      <c r="H40" s="28">
        <v>0.25</v>
      </c>
      <c r="I40" s="29">
        <v>3.0</v>
      </c>
      <c r="J40" s="34">
        <f t="shared" si="1"/>
        <v>0.1666666667</v>
      </c>
      <c r="K40" s="30" t="str">
        <f t="shared" si="2"/>
        <v>09</v>
      </c>
      <c r="L40" s="31" t="str">
        <f t="shared" si="3"/>
        <v>2016-11-12</v>
      </c>
    </row>
    <row r="41" ht="15.75" customHeight="1">
      <c r="A41" s="28" t="s">
        <v>76</v>
      </c>
      <c r="B41" s="29">
        <v>25.0</v>
      </c>
      <c r="C41" s="29">
        <v>7.0</v>
      </c>
      <c r="D41" s="29">
        <v>2.0</v>
      </c>
      <c r="E41" s="29">
        <v>5.0</v>
      </c>
      <c r="F41" s="29">
        <v>5.0</v>
      </c>
      <c r="G41" s="28">
        <v>0.3</v>
      </c>
      <c r="H41" s="28">
        <v>0.57</v>
      </c>
      <c r="I41" s="29">
        <v>4.0</v>
      </c>
      <c r="J41" s="34">
        <f t="shared" si="1"/>
        <v>0.2857142857</v>
      </c>
      <c r="K41" s="30" t="str">
        <f t="shared" si="2"/>
        <v>08</v>
      </c>
      <c r="L41" s="31" t="str">
        <f t="shared" si="3"/>
        <v>2016-11-12</v>
      </c>
    </row>
    <row r="42" ht="15.75" customHeight="1">
      <c r="A42" s="28" t="s">
        <v>77</v>
      </c>
      <c r="B42" s="29">
        <v>22.0</v>
      </c>
      <c r="C42" s="29">
        <v>10.0</v>
      </c>
      <c r="D42" s="29">
        <v>1.0</v>
      </c>
      <c r="E42" s="29">
        <v>8.0</v>
      </c>
      <c r="F42" s="29">
        <v>4.0</v>
      </c>
      <c r="G42" s="28">
        <v>0.5</v>
      </c>
      <c r="H42" s="28">
        <v>0.3</v>
      </c>
      <c r="I42" s="29">
        <v>3.0</v>
      </c>
      <c r="J42" s="34">
        <f t="shared" si="1"/>
        <v>0.1</v>
      </c>
      <c r="K42" s="30" t="str">
        <f t="shared" si="2"/>
        <v>07</v>
      </c>
      <c r="L42" s="31" t="str">
        <f t="shared" si="3"/>
        <v>2016-11-12</v>
      </c>
    </row>
    <row r="43" ht="15.75" customHeight="1">
      <c r="A43" s="28" t="s">
        <v>78</v>
      </c>
      <c r="B43" s="29">
        <v>26.0</v>
      </c>
      <c r="C43" s="29">
        <v>10.0</v>
      </c>
      <c r="D43" s="29">
        <v>1.0</v>
      </c>
      <c r="E43" s="29">
        <v>8.0</v>
      </c>
      <c r="F43" s="29">
        <v>6.0</v>
      </c>
      <c r="G43" s="28">
        <v>0.4</v>
      </c>
      <c r="H43" s="28">
        <v>0.4</v>
      </c>
      <c r="I43" s="29">
        <v>4.0</v>
      </c>
      <c r="J43" s="34">
        <f t="shared" si="1"/>
        <v>0.1</v>
      </c>
      <c r="K43" s="30" t="str">
        <f t="shared" si="2"/>
        <v>06</v>
      </c>
      <c r="L43" s="31" t="str">
        <f t="shared" si="3"/>
        <v>2016-11-12</v>
      </c>
    </row>
    <row r="44" ht="15.75" customHeight="1">
      <c r="A44" s="28" t="s">
        <v>79</v>
      </c>
      <c r="B44" s="29">
        <v>31.0</v>
      </c>
      <c r="C44" s="29">
        <v>13.0</v>
      </c>
      <c r="D44" s="29">
        <v>3.0</v>
      </c>
      <c r="E44" s="29">
        <v>10.0</v>
      </c>
      <c r="F44" s="29">
        <v>9.0</v>
      </c>
      <c r="G44" s="28">
        <v>0.4</v>
      </c>
      <c r="H44" s="28">
        <v>0.77</v>
      </c>
      <c r="I44" s="29">
        <v>10.0</v>
      </c>
      <c r="J44" s="34">
        <f t="shared" si="1"/>
        <v>0.2307692308</v>
      </c>
      <c r="K44" s="30" t="str">
        <f t="shared" si="2"/>
        <v>05</v>
      </c>
      <c r="L44" s="31" t="str">
        <f t="shared" si="3"/>
        <v>2016-11-12</v>
      </c>
    </row>
    <row r="45" ht="15.75" customHeight="1">
      <c r="A45" s="28" t="s">
        <v>80</v>
      </c>
      <c r="B45" s="29">
        <v>38.0</v>
      </c>
      <c r="C45" s="29">
        <v>14.0</v>
      </c>
      <c r="D45" s="29">
        <v>5.0</v>
      </c>
      <c r="E45" s="29">
        <v>9.0</v>
      </c>
      <c r="F45" s="29">
        <v>13.0</v>
      </c>
      <c r="G45" s="28">
        <v>0.4</v>
      </c>
      <c r="H45" s="28">
        <v>0.43</v>
      </c>
      <c r="I45" s="29">
        <v>6.0</v>
      </c>
      <c r="J45" s="34">
        <f t="shared" si="1"/>
        <v>0.3571428571</v>
      </c>
      <c r="K45" s="30" t="str">
        <f t="shared" si="2"/>
        <v>04</v>
      </c>
      <c r="L45" s="31" t="str">
        <f t="shared" si="3"/>
        <v>2016-11-12</v>
      </c>
    </row>
    <row r="46" ht="15.75" customHeight="1">
      <c r="A46" s="28" t="s">
        <v>81</v>
      </c>
      <c r="B46" s="29">
        <v>46.0</v>
      </c>
      <c r="C46" s="29">
        <v>19.0</v>
      </c>
      <c r="D46" s="29">
        <v>7.0</v>
      </c>
      <c r="E46" s="29">
        <v>12.0</v>
      </c>
      <c r="F46" s="29">
        <v>13.0</v>
      </c>
      <c r="G46" s="28">
        <v>0.4</v>
      </c>
      <c r="H46" s="28">
        <v>1.0</v>
      </c>
      <c r="I46" s="29">
        <v>19.0</v>
      </c>
      <c r="J46" s="34">
        <f t="shared" si="1"/>
        <v>0.3684210526</v>
      </c>
      <c r="K46" s="30" t="str">
        <f t="shared" si="2"/>
        <v>03</v>
      </c>
      <c r="L46" s="31" t="str">
        <f t="shared" si="3"/>
        <v>2016-11-12</v>
      </c>
    </row>
    <row r="47" ht="15.75" customHeight="1">
      <c r="A47" s="28" t="s">
        <v>82</v>
      </c>
      <c r="B47" s="29">
        <v>54.0</v>
      </c>
      <c r="C47" s="29">
        <v>26.0</v>
      </c>
      <c r="D47" s="29">
        <v>6.0</v>
      </c>
      <c r="E47" s="29">
        <v>20.0</v>
      </c>
      <c r="F47" s="29">
        <v>12.0</v>
      </c>
      <c r="G47" s="28">
        <v>0.5</v>
      </c>
      <c r="H47" s="28">
        <v>0.73</v>
      </c>
      <c r="I47" s="29">
        <v>19.0</v>
      </c>
      <c r="J47" s="34">
        <f t="shared" si="1"/>
        <v>0.2307692308</v>
      </c>
      <c r="K47" s="30" t="str">
        <f t="shared" si="2"/>
        <v>02</v>
      </c>
      <c r="L47" s="31" t="str">
        <f t="shared" si="3"/>
        <v>2016-11-12</v>
      </c>
    </row>
    <row r="48" ht="15.75" customHeight="1">
      <c r="A48" s="28" t="s">
        <v>83</v>
      </c>
      <c r="B48" s="29">
        <v>62.0</v>
      </c>
      <c r="C48" s="29">
        <v>30.0</v>
      </c>
      <c r="D48" s="29">
        <v>11.0</v>
      </c>
      <c r="E48" s="29">
        <v>19.0</v>
      </c>
      <c r="F48" s="29">
        <v>13.0</v>
      </c>
      <c r="G48" s="28">
        <v>0.5</v>
      </c>
      <c r="H48" s="28">
        <v>0.73</v>
      </c>
      <c r="I48" s="29">
        <v>22.0</v>
      </c>
      <c r="J48" s="34">
        <f t="shared" si="1"/>
        <v>0.3666666667</v>
      </c>
      <c r="K48" s="30" t="str">
        <f t="shared" si="2"/>
        <v>01</v>
      </c>
      <c r="L48" s="31" t="str">
        <f t="shared" si="3"/>
        <v>2016-11-12</v>
      </c>
    </row>
    <row r="49" ht="15.75" customHeight="1">
      <c r="A49" s="28" t="s">
        <v>84</v>
      </c>
      <c r="B49" s="29">
        <v>62.0</v>
      </c>
      <c r="C49" s="29">
        <v>27.0</v>
      </c>
      <c r="D49" s="29">
        <v>20.0</v>
      </c>
      <c r="E49" s="29">
        <v>8.0</v>
      </c>
      <c r="F49" s="29">
        <v>13.0</v>
      </c>
      <c r="G49" s="28">
        <v>0.4</v>
      </c>
      <c r="H49" s="28">
        <v>1.74</v>
      </c>
      <c r="I49" s="29">
        <v>47.0</v>
      </c>
      <c r="J49" s="34">
        <f t="shared" si="1"/>
        <v>0.7407407407</v>
      </c>
      <c r="K49" s="30" t="str">
        <f t="shared" si="2"/>
        <v>00</v>
      </c>
      <c r="L49" s="31" t="str">
        <f t="shared" si="3"/>
        <v>2016-11-12</v>
      </c>
    </row>
    <row r="50" ht="15.75" customHeight="1">
      <c r="A50" s="28" t="s">
        <v>85</v>
      </c>
      <c r="B50" s="29">
        <v>66.0</v>
      </c>
      <c r="C50" s="29">
        <v>27.0</v>
      </c>
      <c r="D50" s="29">
        <v>12.0</v>
      </c>
      <c r="E50" s="29">
        <v>16.0</v>
      </c>
      <c r="F50" s="29">
        <v>14.0</v>
      </c>
      <c r="G50" s="28">
        <v>0.4</v>
      </c>
      <c r="H50" s="28">
        <v>1.48</v>
      </c>
      <c r="I50" s="29">
        <v>40.0</v>
      </c>
      <c r="J50" s="34">
        <f t="shared" si="1"/>
        <v>0.4444444444</v>
      </c>
      <c r="K50" s="30" t="str">
        <f t="shared" si="2"/>
        <v>23</v>
      </c>
      <c r="L50" s="31" t="str">
        <f t="shared" si="3"/>
        <v>2016-11-11</v>
      </c>
    </row>
    <row r="51" ht="15.75" customHeight="1">
      <c r="A51" s="28" t="s">
        <v>86</v>
      </c>
      <c r="B51" s="29">
        <v>76.0</v>
      </c>
      <c r="C51" s="29">
        <v>32.0</v>
      </c>
      <c r="D51" s="29">
        <v>7.0</v>
      </c>
      <c r="E51" s="29">
        <v>25.0</v>
      </c>
      <c r="F51" s="29">
        <v>16.0</v>
      </c>
      <c r="G51" s="28">
        <v>0.4</v>
      </c>
      <c r="H51" s="28">
        <v>0.56</v>
      </c>
      <c r="I51" s="29">
        <v>18.0</v>
      </c>
      <c r="J51" s="34">
        <f t="shared" si="1"/>
        <v>0.21875</v>
      </c>
      <c r="K51" s="30" t="str">
        <f t="shared" si="2"/>
        <v>22</v>
      </c>
      <c r="L51" s="31" t="str">
        <f t="shared" si="3"/>
        <v>2016-11-11</v>
      </c>
    </row>
    <row r="52" ht="15.75" customHeight="1">
      <c r="A52" s="28" t="s">
        <v>87</v>
      </c>
      <c r="B52" s="29">
        <v>73.0</v>
      </c>
      <c r="C52" s="29">
        <v>29.0</v>
      </c>
      <c r="D52" s="29">
        <v>11.0</v>
      </c>
      <c r="E52" s="29">
        <v>18.0</v>
      </c>
      <c r="F52" s="29">
        <v>17.0</v>
      </c>
      <c r="G52" s="28">
        <v>0.4</v>
      </c>
      <c r="H52" s="28">
        <v>0.72</v>
      </c>
      <c r="I52" s="29">
        <v>21.0</v>
      </c>
      <c r="J52" s="34">
        <f t="shared" si="1"/>
        <v>0.3793103448</v>
      </c>
      <c r="K52" s="30" t="str">
        <f t="shared" si="2"/>
        <v>21</v>
      </c>
      <c r="L52" s="31" t="str">
        <f t="shared" si="3"/>
        <v>2016-11-11</v>
      </c>
    </row>
    <row r="53" ht="15.75" customHeight="1">
      <c r="A53" s="28" t="s">
        <v>88</v>
      </c>
      <c r="B53" s="29">
        <v>68.0</v>
      </c>
      <c r="C53" s="29">
        <v>25.0</v>
      </c>
      <c r="D53" s="29">
        <v>17.0</v>
      </c>
      <c r="E53" s="29">
        <v>8.0</v>
      </c>
      <c r="F53" s="29">
        <v>19.0</v>
      </c>
      <c r="G53" s="28">
        <v>0.4</v>
      </c>
      <c r="H53" s="28">
        <v>1.24</v>
      </c>
      <c r="I53" s="29">
        <v>31.0</v>
      </c>
      <c r="J53" s="34">
        <f t="shared" si="1"/>
        <v>0.68</v>
      </c>
      <c r="K53" s="30" t="str">
        <f t="shared" si="2"/>
        <v>20</v>
      </c>
      <c r="L53" s="31" t="str">
        <f t="shared" si="3"/>
        <v>2016-11-11</v>
      </c>
    </row>
    <row r="54" ht="15.75" customHeight="1">
      <c r="A54" s="28" t="s">
        <v>89</v>
      </c>
      <c r="B54" s="29">
        <v>68.0</v>
      </c>
      <c r="C54" s="29">
        <v>27.0</v>
      </c>
      <c r="D54" s="29">
        <v>18.0</v>
      </c>
      <c r="E54" s="29">
        <v>10.0</v>
      </c>
      <c r="F54" s="29">
        <v>17.0</v>
      </c>
      <c r="G54" s="28">
        <v>0.4</v>
      </c>
      <c r="H54" s="28">
        <v>1.33</v>
      </c>
      <c r="I54" s="29">
        <v>36.0</v>
      </c>
      <c r="J54" s="34">
        <f t="shared" si="1"/>
        <v>0.6666666667</v>
      </c>
      <c r="K54" s="30" t="str">
        <f t="shared" si="2"/>
        <v>19</v>
      </c>
      <c r="L54" s="31" t="str">
        <f t="shared" si="3"/>
        <v>2016-11-11</v>
      </c>
    </row>
    <row r="55" ht="15.75" customHeight="1">
      <c r="A55" s="28" t="s">
        <v>90</v>
      </c>
      <c r="B55" s="29">
        <v>66.0</v>
      </c>
      <c r="C55" s="29">
        <v>27.0</v>
      </c>
      <c r="D55" s="29">
        <v>19.0</v>
      </c>
      <c r="E55" s="29">
        <v>9.0</v>
      </c>
      <c r="F55" s="29">
        <v>17.0</v>
      </c>
      <c r="G55" s="28">
        <v>0.4</v>
      </c>
      <c r="H55" s="28">
        <v>1.07</v>
      </c>
      <c r="I55" s="29">
        <v>29.0</v>
      </c>
      <c r="J55" s="34">
        <f t="shared" si="1"/>
        <v>0.7037037037</v>
      </c>
      <c r="K55" s="30" t="str">
        <f t="shared" si="2"/>
        <v>18</v>
      </c>
      <c r="L55" s="31" t="str">
        <f t="shared" si="3"/>
        <v>2016-11-11</v>
      </c>
    </row>
    <row r="56" ht="15.75" customHeight="1">
      <c r="A56" s="28" t="s">
        <v>91</v>
      </c>
      <c r="B56" s="29">
        <v>64.0</v>
      </c>
      <c r="C56" s="29">
        <v>29.0</v>
      </c>
      <c r="D56" s="29">
        <v>18.0</v>
      </c>
      <c r="E56" s="29">
        <v>10.0</v>
      </c>
      <c r="F56" s="29">
        <v>16.0</v>
      </c>
      <c r="G56" s="28">
        <v>0.5</v>
      </c>
      <c r="H56" s="28">
        <v>0.9</v>
      </c>
      <c r="I56" s="29">
        <v>26.0</v>
      </c>
      <c r="J56" s="34">
        <f t="shared" si="1"/>
        <v>0.6206896552</v>
      </c>
      <c r="K56" s="30" t="str">
        <f t="shared" si="2"/>
        <v>17</v>
      </c>
      <c r="L56" s="31" t="str">
        <f t="shared" si="3"/>
        <v>2016-11-11</v>
      </c>
    </row>
    <row r="57" ht="15.75" customHeight="1">
      <c r="A57" s="28" t="s">
        <v>92</v>
      </c>
      <c r="B57" s="29">
        <v>67.0</v>
      </c>
      <c r="C57" s="29">
        <v>25.0</v>
      </c>
      <c r="D57" s="29">
        <v>12.0</v>
      </c>
      <c r="E57" s="29">
        <v>13.0</v>
      </c>
      <c r="F57" s="29">
        <v>18.0</v>
      </c>
      <c r="G57" s="28">
        <v>0.4</v>
      </c>
      <c r="H57" s="28">
        <v>0.92</v>
      </c>
      <c r="I57" s="29">
        <v>23.0</v>
      </c>
      <c r="J57" s="34">
        <f t="shared" si="1"/>
        <v>0.48</v>
      </c>
      <c r="K57" s="30" t="str">
        <f t="shared" si="2"/>
        <v>16</v>
      </c>
      <c r="L57" s="31" t="str">
        <f t="shared" si="3"/>
        <v>2016-11-11</v>
      </c>
    </row>
    <row r="58" ht="15.75" customHeight="1">
      <c r="A58" s="28" t="s">
        <v>93</v>
      </c>
      <c r="B58" s="29">
        <v>70.0</v>
      </c>
      <c r="C58" s="29">
        <v>23.0</v>
      </c>
      <c r="D58" s="29">
        <v>7.0</v>
      </c>
      <c r="E58" s="29">
        <v>16.0</v>
      </c>
      <c r="F58" s="29">
        <v>16.0</v>
      </c>
      <c r="G58" s="28">
        <v>0.3</v>
      </c>
      <c r="H58" s="28">
        <v>0.39</v>
      </c>
      <c r="I58" s="29">
        <v>9.0</v>
      </c>
      <c r="J58" s="34">
        <f t="shared" si="1"/>
        <v>0.3043478261</v>
      </c>
      <c r="K58" s="30" t="str">
        <f t="shared" si="2"/>
        <v>15</v>
      </c>
      <c r="L58" s="31" t="str">
        <f t="shared" si="3"/>
        <v>2016-11-11</v>
      </c>
    </row>
    <row r="59" ht="15.75" customHeight="1">
      <c r="A59" s="28" t="s">
        <v>94</v>
      </c>
      <c r="B59" s="29">
        <v>53.0</v>
      </c>
      <c r="C59" s="29">
        <v>22.0</v>
      </c>
      <c r="D59" s="29">
        <v>4.0</v>
      </c>
      <c r="E59" s="29">
        <v>17.0</v>
      </c>
      <c r="F59" s="29">
        <v>17.0</v>
      </c>
      <c r="G59" s="28">
        <v>0.4</v>
      </c>
      <c r="H59" s="28">
        <v>0.45</v>
      </c>
      <c r="I59" s="29">
        <v>10.0</v>
      </c>
      <c r="J59" s="34">
        <f t="shared" si="1"/>
        <v>0.1818181818</v>
      </c>
      <c r="K59" s="30" t="str">
        <f t="shared" si="2"/>
        <v>14</v>
      </c>
      <c r="L59" s="31" t="str">
        <f t="shared" si="3"/>
        <v>2016-11-11</v>
      </c>
    </row>
    <row r="60" ht="15.75" customHeight="1">
      <c r="A60" s="28" t="s">
        <v>95</v>
      </c>
      <c r="B60" s="29">
        <v>67.0</v>
      </c>
      <c r="C60" s="29">
        <v>25.0</v>
      </c>
      <c r="D60" s="29">
        <v>6.0</v>
      </c>
      <c r="E60" s="29">
        <v>20.0</v>
      </c>
      <c r="F60" s="29">
        <v>15.0</v>
      </c>
      <c r="G60" s="28">
        <v>0.4</v>
      </c>
      <c r="H60" s="28">
        <v>0.44</v>
      </c>
      <c r="I60" s="29">
        <v>11.0</v>
      </c>
      <c r="J60" s="34">
        <f t="shared" si="1"/>
        <v>0.24</v>
      </c>
      <c r="K60" s="30" t="str">
        <f t="shared" si="2"/>
        <v>13</v>
      </c>
      <c r="L60" s="31" t="str">
        <f t="shared" si="3"/>
        <v>2016-11-11</v>
      </c>
    </row>
    <row r="61" ht="15.75" customHeight="1">
      <c r="A61" s="28" t="s">
        <v>96</v>
      </c>
      <c r="B61" s="29">
        <v>69.0</v>
      </c>
      <c r="C61" s="29">
        <v>24.0</v>
      </c>
      <c r="D61" s="29">
        <v>6.0</v>
      </c>
      <c r="E61" s="29">
        <v>18.0</v>
      </c>
      <c r="F61" s="29">
        <v>18.0</v>
      </c>
      <c r="G61" s="28">
        <v>0.3</v>
      </c>
      <c r="H61" s="28">
        <v>0.54</v>
      </c>
      <c r="I61" s="29">
        <v>13.0</v>
      </c>
      <c r="J61" s="34">
        <f t="shared" si="1"/>
        <v>0.25</v>
      </c>
      <c r="K61" s="30" t="str">
        <f t="shared" si="2"/>
        <v>12</v>
      </c>
      <c r="L61" s="31" t="str">
        <f t="shared" si="3"/>
        <v>2016-11-11</v>
      </c>
    </row>
    <row r="62" ht="15.75" customHeight="1">
      <c r="A62" s="28" t="s">
        <v>97</v>
      </c>
      <c r="B62" s="29">
        <v>61.0</v>
      </c>
      <c r="C62" s="29">
        <v>24.0</v>
      </c>
      <c r="D62" s="29">
        <v>6.0</v>
      </c>
      <c r="E62" s="29">
        <v>18.0</v>
      </c>
      <c r="F62" s="29">
        <v>13.0</v>
      </c>
      <c r="G62" s="28">
        <v>0.4</v>
      </c>
      <c r="H62" s="28">
        <v>0.58</v>
      </c>
      <c r="I62" s="29">
        <v>14.0</v>
      </c>
      <c r="J62" s="34">
        <f t="shared" si="1"/>
        <v>0.25</v>
      </c>
      <c r="K62" s="30" t="str">
        <f t="shared" si="2"/>
        <v>11</v>
      </c>
      <c r="L62" s="31" t="str">
        <f t="shared" si="3"/>
        <v>2016-11-11</v>
      </c>
    </row>
    <row r="63" ht="15.75" customHeight="1">
      <c r="A63" s="28" t="s">
        <v>98</v>
      </c>
      <c r="B63" s="29">
        <v>65.0</v>
      </c>
      <c r="C63" s="29">
        <v>25.0</v>
      </c>
      <c r="D63" s="29">
        <v>6.0</v>
      </c>
      <c r="E63" s="29">
        <v>19.0</v>
      </c>
      <c r="F63" s="29">
        <v>18.0</v>
      </c>
      <c r="G63" s="28">
        <v>0.4</v>
      </c>
      <c r="H63" s="28">
        <v>0.24</v>
      </c>
      <c r="I63" s="29">
        <v>6.0</v>
      </c>
      <c r="J63" s="34">
        <f t="shared" si="1"/>
        <v>0.24</v>
      </c>
      <c r="K63" s="30" t="str">
        <f t="shared" si="2"/>
        <v>10</v>
      </c>
      <c r="L63" s="31" t="str">
        <f t="shared" si="3"/>
        <v>2016-11-11</v>
      </c>
    </row>
    <row r="64" ht="15.75" customHeight="1">
      <c r="A64" s="28" t="s">
        <v>99</v>
      </c>
      <c r="B64" s="29">
        <v>66.0</v>
      </c>
      <c r="C64" s="29">
        <v>24.0</v>
      </c>
      <c r="D64" s="29">
        <v>13.0</v>
      </c>
      <c r="E64" s="29">
        <v>11.0</v>
      </c>
      <c r="F64" s="29">
        <v>16.0</v>
      </c>
      <c r="G64" s="28">
        <v>0.4</v>
      </c>
      <c r="H64" s="28">
        <v>1.17</v>
      </c>
      <c r="I64" s="29">
        <v>28.0</v>
      </c>
      <c r="J64" s="34">
        <f t="shared" si="1"/>
        <v>0.5416666667</v>
      </c>
      <c r="K64" s="30" t="str">
        <f t="shared" si="2"/>
        <v>09</v>
      </c>
      <c r="L64" s="31" t="str">
        <f t="shared" si="3"/>
        <v>2016-11-11</v>
      </c>
    </row>
    <row r="65" ht="15.75" customHeight="1">
      <c r="A65" s="28" t="s">
        <v>100</v>
      </c>
      <c r="B65" s="29">
        <v>49.0</v>
      </c>
      <c r="C65" s="29">
        <v>20.0</v>
      </c>
      <c r="D65" s="29">
        <v>10.0</v>
      </c>
      <c r="E65" s="29">
        <v>10.0</v>
      </c>
      <c r="F65" s="29">
        <v>11.0</v>
      </c>
      <c r="G65" s="28">
        <v>0.4</v>
      </c>
      <c r="H65" s="28">
        <v>1.2</v>
      </c>
      <c r="I65" s="29">
        <v>24.0</v>
      </c>
      <c r="J65" s="34">
        <f t="shared" si="1"/>
        <v>0.5</v>
      </c>
      <c r="K65" s="30" t="str">
        <f t="shared" si="2"/>
        <v>08</v>
      </c>
      <c r="L65" s="31" t="str">
        <f t="shared" si="3"/>
        <v>2016-11-11</v>
      </c>
    </row>
    <row r="66" ht="15.75" customHeight="1">
      <c r="A66" s="28" t="s">
        <v>101</v>
      </c>
      <c r="B66" s="29">
        <v>36.0</v>
      </c>
      <c r="C66" s="29">
        <v>14.0</v>
      </c>
      <c r="D66" s="29">
        <v>3.0</v>
      </c>
      <c r="E66" s="29">
        <v>11.0</v>
      </c>
      <c r="F66" s="29">
        <v>4.0</v>
      </c>
      <c r="G66" s="28">
        <v>0.4</v>
      </c>
      <c r="H66" s="28">
        <v>0.5</v>
      </c>
      <c r="I66" s="29">
        <v>7.0</v>
      </c>
      <c r="J66" s="34">
        <f t="shared" si="1"/>
        <v>0.2142857143</v>
      </c>
      <c r="K66" s="30" t="str">
        <f t="shared" si="2"/>
        <v>07</v>
      </c>
      <c r="L66" s="31" t="str">
        <f t="shared" si="3"/>
        <v>2016-11-11</v>
      </c>
    </row>
    <row r="67" ht="15.75" customHeight="1">
      <c r="A67" s="28" t="s">
        <v>102</v>
      </c>
      <c r="B67" s="29">
        <v>18.0</v>
      </c>
      <c r="C67" s="29">
        <v>8.0</v>
      </c>
      <c r="D67" s="29">
        <v>0.0</v>
      </c>
      <c r="E67" s="29">
        <v>8.0</v>
      </c>
      <c r="F67" s="29">
        <v>4.0</v>
      </c>
      <c r="G67" s="28">
        <v>0.4</v>
      </c>
      <c r="H67" s="28">
        <v>0.13</v>
      </c>
      <c r="I67" s="29">
        <v>1.0</v>
      </c>
      <c r="J67" s="34">
        <f t="shared" si="1"/>
        <v>0</v>
      </c>
      <c r="K67" s="30" t="str">
        <f t="shared" si="2"/>
        <v>06</v>
      </c>
      <c r="L67" s="31" t="str">
        <f t="shared" si="3"/>
        <v>2016-11-11</v>
      </c>
    </row>
    <row r="68" ht="15.75" customHeight="1">
      <c r="A68" s="28" t="s">
        <v>103</v>
      </c>
      <c r="B68" s="29">
        <v>21.0</v>
      </c>
      <c r="C68" s="29">
        <v>8.0</v>
      </c>
      <c r="D68" s="29">
        <v>1.0</v>
      </c>
      <c r="E68" s="29">
        <v>7.0</v>
      </c>
      <c r="F68" s="29">
        <v>5.0</v>
      </c>
      <c r="G68" s="28">
        <v>0.4</v>
      </c>
      <c r="H68" s="28">
        <v>0.13</v>
      </c>
      <c r="I68" s="29">
        <v>1.0</v>
      </c>
      <c r="J68" s="34">
        <f t="shared" si="1"/>
        <v>0.125</v>
      </c>
      <c r="K68" s="30" t="str">
        <f t="shared" si="2"/>
        <v>05</v>
      </c>
      <c r="L68" s="31" t="str">
        <f t="shared" si="3"/>
        <v>2016-11-11</v>
      </c>
    </row>
    <row r="69" ht="15.75" customHeight="1">
      <c r="A69" s="28" t="s">
        <v>104</v>
      </c>
      <c r="B69" s="29">
        <v>25.0</v>
      </c>
      <c r="C69" s="29">
        <v>10.0</v>
      </c>
      <c r="D69" s="29">
        <v>1.0</v>
      </c>
      <c r="E69" s="29">
        <v>9.0</v>
      </c>
      <c r="F69" s="29">
        <v>7.0</v>
      </c>
      <c r="G69" s="28">
        <v>0.4</v>
      </c>
      <c r="H69" s="28">
        <v>0.2</v>
      </c>
      <c r="I69" s="29">
        <v>2.0</v>
      </c>
      <c r="J69" s="34">
        <f t="shared" si="1"/>
        <v>0.1</v>
      </c>
      <c r="K69" s="30" t="str">
        <f t="shared" si="2"/>
        <v>04</v>
      </c>
      <c r="L69" s="31" t="str">
        <f t="shared" si="3"/>
        <v>2016-11-11</v>
      </c>
    </row>
    <row r="70" ht="15.75" customHeight="1">
      <c r="A70" s="28" t="s">
        <v>105</v>
      </c>
      <c r="B70" s="29">
        <v>25.0</v>
      </c>
      <c r="C70" s="29">
        <v>9.0</v>
      </c>
      <c r="D70" s="29">
        <v>0.0</v>
      </c>
      <c r="E70" s="29">
        <v>9.0</v>
      </c>
      <c r="F70" s="29">
        <v>7.0</v>
      </c>
      <c r="G70" s="28">
        <v>0.4</v>
      </c>
      <c r="H70" s="29">
        <v>0.0</v>
      </c>
      <c r="I70" s="28">
        <v>0.0</v>
      </c>
      <c r="J70" s="34">
        <f t="shared" si="1"/>
        <v>0</v>
      </c>
      <c r="K70" s="30" t="str">
        <f t="shared" si="2"/>
        <v>03</v>
      </c>
      <c r="L70" s="31" t="str">
        <f t="shared" si="3"/>
        <v>2016-11-11</v>
      </c>
    </row>
    <row r="71" ht="15.75" customHeight="1">
      <c r="A71" s="28" t="s">
        <v>106</v>
      </c>
      <c r="B71" s="29">
        <v>30.0</v>
      </c>
      <c r="C71" s="29">
        <v>13.0</v>
      </c>
      <c r="D71" s="29">
        <v>2.0</v>
      </c>
      <c r="E71" s="29">
        <v>11.0</v>
      </c>
      <c r="F71" s="29">
        <v>7.0</v>
      </c>
      <c r="G71" s="28">
        <v>0.4</v>
      </c>
      <c r="H71" s="28">
        <v>0.38</v>
      </c>
      <c r="I71" s="29">
        <v>5.0</v>
      </c>
      <c r="J71" s="34">
        <f t="shared" si="1"/>
        <v>0.1538461538</v>
      </c>
      <c r="K71" s="30" t="str">
        <f t="shared" si="2"/>
        <v>02</v>
      </c>
      <c r="L71" s="31" t="str">
        <f t="shared" si="3"/>
        <v>2016-11-11</v>
      </c>
    </row>
    <row r="72" ht="15.75" customHeight="1">
      <c r="A72" s="28" t="s">
        <v>107</v>
      </c>
      <c r="B72" s="29">
        <v>44.0</v>
      </c>
      <c r="C72" s="29">
        <v>18.0</v>
      </c>
      <c r="D72" s="29">
        <v>3.0</v>
      </c>
      <c r="E72" s="29">
        <v>15.0</v>
      </c>
      <c r="F72" s="29">
        <v>11.0</v>
      </c>
      <c r="G72" s="28">
        <v>0.4</v>
      </c>
      <c r="H72" s="28">
        <v>0.39</v>
      </c>
      <c r="I72" s="29">
        <v>7.0</v>
      </c>
      <c r="J72" s="34">
        <f t="shared" si="1"/>
        <v>0.1666666667</v>
      </c>
      <c r="K72" s="30" t="str">
        <f t="shared" si="2"/>
        <v>01</v>
      </c>
      <c r="L72" s="31" t="str">
        <f t="shared" si="3"/>
        <v>2016-11-11</v>
      </c>
    </row>
    <row r="73" ht="15.75" customHeight="1">
      <c r="A73" s="28" t="s">
        <v>108</v>
      </c>
      <c r="B73" s="29">
        <v>53.0</v>
      </c>
      <c r="C73" s="29">
        <v>19.0</v>
      </c>
      <c r="D73" s="29">
        <v>4.0</v>
      </c>
      <c r="E73" s="29">
        <v>14.0</v>
      </c>
      <c r="F73" s="29">
        <v>18.0</v>
      </c>
      <c r="G73" s="28">
        <v>0.4</v>
      </c>
      <c r="H73" s="28">
        <v>0.68</v>
      </c>
      <c r="I73" s="29">
        <v>13.0</v>
      </c>
      <c r="J73" s="34">
        <f t="shared" si="1"/>
        <v>0.2105263158</v>
      </c>
      <c r="K73" s="30" t="str">
        <f t="shared" si="2"/>
        <v>00</v>
      </c>
      <c r="L73" s="31" t="str">
        <f t="shared" si="3"/>
        <v>2016-11-11</v>
      </c>
    </row>
    <row r="74" ht="15.75" customHeight="1">
      <c r="A74" s="28" t="s">
        <v>109</v>
      </c>
      <c r="B74" s="29">
        <v>64.0</v>
      </c>
      <c r="C74" s="29">
        <v>23.0</v>
      </c>
      <c r="D74" s="29">
        <v>7.0</v>
      </c>
      <c r="E74" s="29">
        <v>17.0</v>
      </c>
      <c r="F74" s="29">
        <v>20.0</v>
      </c>
      <c r="G74" s="28">
        <v>0.4</v>
      </c>
      <c r="H74" s="28">
        <v>0.57</v>
      </c>
      <c r="I74" s="29">
        <v>13.0</v>
      </c>
      <c r="J74" s="34">
        <f t="shared" si="1"/>
        <v>0.3043478261</v>
      </c>
      <c r="K74" s="30" t="str">
        <f t="shared" si="2"/>
        <v>23</v>
      </c>
      <c r="L74" s="31" t="str">
        <f t="shared" si="3"/>
        <v>2016-11-10</v>
      </c>
    </row>
    <row r="75" ht="15.75" customHeight="1">
      <c r="A75" s="28" t="s">
        <v>110</v>
      </c>
      <c r="B75" s="29">
        <v>71.0</v>
      </c>
      <c r="C75" s="29">
        <v>31.0</v>
      </c>
      <c r="D75" s="29">
        <v>6.0</v>
      </c>
      <c r="E75" s="29">
        <v>25.0</v>
      </c>
      <c r="F75" s="29">
        <v>23.0</v>
      </c>
      <c r="G75" s="28">
        <v>0.4</v>
      </c>
      <c r="H75" s="28">
        <v>0.58</v>
      </c>
      <c r="I75" s="29">
        <v>18.0</v>
      </c>
      <c r="J75" s="34">
        <f t="shared" si="1"/>
        <v>0.1935483871</v>
      </c>
      <c r="K75" s="30" t="str">
        <f t="shared" si="2"/>
        <v>22</v>
      </c>
      <c r="L75" s="31" t="str">
        <f t="shared" si="3"/>
        <v>2016-11-10</v>
      </c>
    </row>
    <row r="76" ht="15.75" customHeight="1">
      <c r="A76" s="28" t="s">
        <v>111</v>
      </c>
      <c r="B76" s="29">
        <v>93.0</v>
      </c>
      <c r="C76" s="29">
        <v>34.0</v>
      </c>
      <c r="D76" s="29">
        <v>3.0</v>
      </c>
      <c r="E76" s="29">
        <v>31.0</v>
      </c>
      <c r="F76" s="29">
        <v>24.0</v>
      </c>
      <c r="G76" s="28">
        <v>0.4</v>
      </c>
      <c r="H76" s="28">
        <v>0.29</v>
      </c>
      <c r="I76" s="29">
        <v>10.0</v>
      </c>
      <c r="J76" s="34">
        <f t="shared" si="1"/>
        <v>0.08823529412</v>
      </c>
      <c r="K76" s="30" t="str">
        <f t="shared" si="2"/>
        <v>21</v>
      </c>
      <c r="L76" s="31" t="str">
        <f t="shared" si="3"/>
        <v>2016-11-10</v>
      </c>
    </row>
    <row r="77" ht="15.75" customHeight="1">
      <c r="A77" s="28" t="s">
        <v>112</v>
      </c>
      <c r="B77" s="29">
        <v>99.0</v>
      </c>
      <c r="C77" s="29">
        <v>45.0</v>
      </c>
      <c r="D77" s="29">
        <v>8.0</v>
      </c>
      <c r="E77" s="29">
        <v>37.0</v>
      </c>
      <c r="F77" s="29">
        <v>23.0</v>
      </c>
      <c r="G77" s="28">
        <v>0.5</v>
      </c>
      <c r="H77" s="28">
        <v>0.42</v>
      </c>
      <c r="I77" s="29">
        <v>19.0</v>
      </c>
      <c r="J77" s="34">
        <f t="shared" si="1"/>
        <v>0.1777777778</v>
      </c>
      <c r="K77" s="30" t="str">
        <f t="shared" si="2"/>
        <v>20</v>
      </c>
      <c r="L77" s="31" t="str">
        <f t="shared" si="3"/>
        <v>2016-11-10</v>
      </c>
    </row>
    <row r="78" ht="15.75" customHeight="1">
      <c r="A78" s="28" t="s">
        <v>113</v>
      </c>
      <c r="B78" s="29">
        <v>103.0</v>
      </c>
      <c r="C78" s="29">
        <v>45.0</v>
      </c>
      <c r="D78" s="29">
        <v>13.0</v>
      </c>
      <c r="E78" s="29">
        <v>32.0</v>
      </c>
      <c r="F78" s="29">
        <v>29.0</v>
      </c>
      <c r="G78" s="28">
        <v>0.4</v>
      </c>
      <c r="H78" s="28">
        <v>0.58</v>
      </c>
      <c r="I78" s="29">
        <v>26.0</v>
      </c>
      <c r="J78" s="34">
        <f t="shared" si="1"/>
        <v>0.2888888889</v>
      </c>
      <c r="K78" s="30" t="str">
        <f t="shared" si="2"/>
        <v>19</v>
      </c>
      <c r="L78" s="31" t="str">
        <f t="shared" si="3"/>
        <v>2016-11-10</v>
      </c>
    </row>
    <row r="79" ht="15.75" customHeight="1">
      <c r="A79" s="28" t="s">
        <v>114</v>
      </c>
      <c r="B79" s="29">
        <v>99.0</v>
      </c>
      <c r="C79" s="29">
        <v>40.0</v>
      </c>
      <c r="D79" s="29">
        <v>18.0</v>
      </c>
      <c r="E79" s="29">
        <v>22.0</v>
      </c>
      <c r="F79" s="29">
        <v>25.0</v>
      </c>
      <c r="G79" s="28">
        <v>0.4</v>
      </c>
      <c r="H79" s="28">
        <v>0.7</v>
      </c>
      <c r="I79" s="29">
        <v>28.0</v>
      </c>
      <c r="J79" s="34">
        <f t="shared" si="1"/>
        <v>0.45</v>
      </c>
      <c r="K79" s="30" t="str">
        <f t="shared" si="2"/>
        <v>18</v>
      </c>
      <c r="L79" s="31" t="str">
        <f t="shared" si="3"/>
        <v>2016-11-10</v>
      </c>
    </row>
    <row r="80" ht="15.75" customHeight="1">
      <c r="A80" s="28" t="s">
        <v>115</v>
      </c>
      <c r="B80" s="29">
        <v>90.0</v>
      </c>
      <c r="C80" s="29">
        <v>35.0</v>
      </c>
      <c r="D80" s="29">
        <v>10.0</v>
      </c>
      <c r="E80" s="29">
        <v>24.0</v>
      </c>
      <c r="F80" s="29">
        <v>23.0</v>
      </c>
      <c r="G80" s="28">
        <v>0.4</v>
      </c>
      <c r="H80" s="28">
        <v>0.63</v>
      </c>
      <c r="I80" s="29">
        <v>22.0</v>
      </c>
      <c r="J80" s="34">
        <f t="shared" si="1"/>
        <v>0.2857142857</v>
      </c>
      <c r="K80" s="30" t="str">
        <f t="shared" si="2"/>
        <v>17</v>
      </c>
      <c r="L80" s="31" t="str">
        <f t="shared" si="3"/>
        <v>2016-11-10</v>
      </c>
    </row>
    <row r="81" ht="15.75" customHeight="1">
      <c r="A81" s="28" t="s">
        <v>116</v>
      </c>
      <c r="B81" s="29">
        <v>79.0</v>
      </c>
      <c r="C81" s="29">
        <v>33.0</v>
      </c>
      <c r="D81" s="29">
        <v>4.0</v>
      </c>
      <c r="E81" s="29">
        <v>29.0</v>
      </c>
      <c r="F81" s="29">
        <v>24.0</v>
      </c>
      <c r="G81" s="28">
        <v>0.4</v>
      </c>
      <c r="H81" s="28">
        <v>0.24</v>
      </c>
      <c r="I81" s="29">
        <v>8.0</v>
      </c>
      <c r="J81" s="34">
        <f t="shared" si="1"/>
        <v>0.1212121212</v>
      </c>
      <c r="K81" s="30" t="str">
        <f t="shared" si="2"/>
        <v>16</v>
      </c>
      <c r="L81" s="31" t="str">
        <f t="shared" si="3"/>
        <v>2016-11-10</v>
      </c>
    </row>
    <row r="82" ht="15.75" customHeight="1">
      <c r="A82" s="28" t="s">
        <v>117</v>
      </c>
      <c r="B82" s="29">
        <v>81.0</v>
      </c>
      <c r="C82" s="29">
        <v>30.0</v>
      </c>
      <c r="D82" s="29">
        <v>1.0</v>
      </c>
      <c r="E82" s="29">
        <v>29.0</v>
      </c>
      <c r="F82" s="29">
        <v>25.0</v>
      </c>
      <c r="G82" s="28">
        <v>0.4</v>
      </c>
      <c r="H82" s="28">
        <v>0.13</v>
      </c>
      <c r="I82" s="29">
        <v>4.0</v>
      </c>
      <c r="J82" s="34">
        <f t="shared" si="1"/>
        <v>0.03333333333</v>
      </c>
      <c r="K82" s="30" t="str">
        <f t="shared" si="2"/>
        <v>15</v>
      </c>
      <c r="L82" s="31" t="str">
        <f t="shared" si="3"/>
        <v>2016-11-10</v>
      </c>
    </row>
    <row r="83" ht="15.75" customHeight="1">
      <c r="A83" s="28" t="s">
        <v>118</v>
      </c>
      <c r="B83" s="29">
        <v>79.0</v>
      </c>
      <c r="C83" s="29">
        <v>34.0</v>
      </c>
      <c r="D83" s="29">
        <v>3.0</v>
      </c>
      <c r="E83" s="29">
        <v>31.0</v>
      </c>
      <c r="F83" s="29">
        <v>19.0</v>
      </c>
      <c r="G83" s="28">
        <v>0.4</v>
      </c>
      <c r="H83" s="28">
        <v>0.21</v>
      </c>
      <c r="I83" s="29">
        <v>7.0</v>
      </c>
      <c r="J83" s="34">
        <f t="shared" si="1"/>
        <v>0.08823529412</v>
      </c>
      <c r="K83" s="30" t="str">
        <f t="shared" si="2"/>
        <v>14</v>
      </c>
      <c r="L83" s="31" t="str">
        <f t="shared" si="3"/>
        <v>2016-11-10</v>
      </c>
    </row>
    <row r="84" ht="15.75" customHeight="1">
      <c r="A84" s="28" t="s">
        <v>119</v>
      </c>
      <c r="B84" s="29">
        <v>87.0</v>
      </c>
      <c r="C84" s="29">
        <v>28.0</v>
      </c>
      <c r="D84" s="29">
        <v>3.0</v>
      </c>
      <c r="E84" s="29">
        <v>24.0</v>
      </c>
      <c r="F84" s="29">
        <v>23.0</v>
      </c>
      <c r="G84" s="28">
        <v>0.3</v>
      </c>
      <c r="H84" s="28">
        <v>0.25</v>
      </c>
      <c r="I84" s="29">
        <v>7.0</v>
      </c>
      <c r="J84" s="34">
        <f t="shared" si="1"/>
        <v>0.1071428571</v>
      </c>
      <c r="K84" s="30" t="str">
        <f t="shared" si="2"/>
        <v>13</v>
      </c>
      <c r="L84" s="31" t="str">
        <f t="shared" si="3"/>
        <v>2016-11-10</v>
      </c>
    </row>
    <row r="85" ht="15.75" customHeight="1">
      <c r="A85" s="28" t="s">
        <v>120</v>
      </c>
      <c r="B85" s="29">
        <v>78.0</v>
      </c>
      <c r="C85" s="29">
        <v>27.0</v>
      </c>
      <c r="D85" s="29">
        <v>4.0</v>
      </c>
      <c r="E85" s="29">
        <v>23.0</v>
      </c>
      <c r="F85" s="29">
        <v>23.0</v>
      </c>
      <c r="G85" s="28">
        <v>0.3</v>
      </c>
      <c r="H85" s="28">
        <v>0.26</v>
      </c>
      <c r="I85" s="29">
        <v>7.0</v>
      </c>
      <c r="J85" s="34">
        <f t="shared" si="1"/>
        <v>0.1481481481</v>
      </c>
      <c r="K85" s="30" t="str">
        <f t="shared" si="2"/>
        <v>12</v>
      </c>
      <c r="L85" s="31" t="str">
        <f t="shared" si="3"/>
        <v>2016-11-10</v>
      </c>
    </row>
    <row r="86" ht="15.75" customHeight="1">
      <c r="A86" s="28" t="s">
        <v>121</v>
      </c>
      <c r="B86" s="29">
        <v>78.0</v>
      </c>
      <c r="C86" s="29">
        <v>31.0</v>
      </c>
      <c r="D86" s="29">
        <v>4.0</v>
      </c>
      <c r="E86" s="29">
        <v>27.0</v>
      </c>
      <c r="F86" s="29">
        <v>17.0</v>
      </c>
      <c r="G86" s="28">
        <v>0.4</v>
      </c>
      <c r="H86" s="28">
        <v>0.19</v>
      </c>
      <c r="I86" s="29">
        <v>6.0</v>
      </c>
      <c r="J86" s="34">
        <f t="shared" si="1"/>
        <v>0.1290322581</v>
      </c>
      <c r="K86" s="30" t="str">
        <f t="shared" si="2"/>
        <v>11</v>
      </c>
      <c r="L86" s="31" t="str">
        <f t="shared" si="3"/>
        <v>2016-11-10</v>
      </c>
    </row>
    <row r="87" ht="15.75" customHeight="1">
      <c r="A87" s="28" t="s">
        <v>122</v>
      </c>
      <c r="B87" s="29">
        <v>75.0</v>
      </c>
      <c r="C87" s="29">
        <v>31.0</v>
      </c>
      <c r="D87" s="29">
        <v>7.0</v>
      </c>
      <c r="E87" s="29">
        <v>23.0</v>
      </c>
      <c r="F87" s="29">
        <v>16.0</v>
      </c>
      <c r="G87" s="28">
        <v>0.4</v>
      </c>
      <c r="H87" s="28">
        <v>0.32</v>
      </c>
      <c r="I87" s="29">
        <v>10.0</v>
      </c>
      <c r="J87" s="34">
        <f t="shared" si="1"/>
        <v>0.2258064516</v>
      </c>
      <c r="K87" s="30" t="str">
        <f t="shared" si="2"/>
        <v>10</v>
      </c>
      <c r="L87" s="31" t="str">
        <f t="shared" si="3"/>
        <v>2016-11-10</v>
      </c>
    </row>
    <row r="88" ht="15.75" customHeight="1">
      <c r="A88" s="28" t="s">
        <v>123</v>
      </c>
      <c r="B88" s="29">
        <v>63.0</v>
      </c>
      <c r="C88" s="29">
        <v>26.0</v>
      </c>
      <c r="D88" s="29">
        <v>12.0</v>
      </c>
      <c r="E88" s="29">
        <v>13.0</v>
      </c>
      <c r="F88" s="29">
        <v>13.0</v>
      </c>
      <c r="G88" s="28">
        <v>0.4</v>
      </c>
      <c r="H88" s="28">
        <v>1.0</v>
      </c>
      <c r="I88" s="29">
        <v>26.0</v>
      </c>
      <c r="J88" s="34">
        <f t="shared" si="1"/>
        <v>0.4615384615</v>
      </c>
      <c r="K88" s="30" t="str">
        <f t="shared" si="2"/>
        <v>09</v>
      </c>
      <c r="L88" s="31" t="str">
        <f t="shared" si="3"/>
        <v>2016-11-10</v>
      </c>
    </row>
    <row r="89" ht="15.75" customHeight="1">
      <c r="A89" s="28" t="s">
        <v>124</v>
      </c>
      <c r="B89" s="29">
        <v>54.0</v>
      </c>
      <c r="C89" s="29">
        <v>16.0</v>
      </c>
      <c r="D89" s="29">
        <v>7.0</v>
      </c>
      <c r="E89" s="29">
        <v>9.0</v>
      </c>
      <c r="F89" s="29">
        <v>16.0</v>
      </c>
      <c r="G89" s="28">
        <v>0.3</v>
      </c>
      <c r="H89" s="28">
        <v>0.69</v>
      </c>
      <c r="I89" s="29">
        <v>11.0</v>
      </c>
      <c r="J89" s="34">
        <f t="shared" si="1"/>
        <v>0.4375</v>
      </c>
      <c r="K89" s="30" t="str">
        <f t="shared" si="2"/>
        <v>08</v>
      </c>
      <c r="L89" s="31" t="str">
        <f t="shared" si="3"/>
        <v>2016-11-10</v>
      </c>
    </row>
    <row r="90" ht="15.75" customHeight="1">
      <c r="A90" s="28" t="s">
        <v>125</v>
      </c>
      <c r="B90" s="29">
        <v>41.0</v>
      </c>
      <c r="C90" s="29">
        <v>14.0</v>
      </c>
      <c r="D90" s="29">
        <v>4.0</v>
      </c>
      <c r="E90" s="29">
        <v>11.0</v>
      </c>
      <c r="F90" s="29">
        <v>11.0</v>
      </c>
      <c r="G90" s="28">
        <v>0.3</v>
      </c>
      <c r="H90" s="28">
        <v>0.71</v>
      </c>
      <c r="I90" s="29">
        <v>10.0</v>
      </c>
      <c r="J90" s="34">
        <f t="shared" si="1"/>
        <v>0.2857142857</v>
      </c>
      <c r="K90" s="30" t="str">
        <f t="shared" si="2"/>
        <v>07</v>
      </c>
      <c r="L90" s="31" t="str">
        <f t="shared" si="3"/>
        <v>2016-11-10</v>
      </c>
    </row>
    <row r="91" ht="15.75" customHeight="1">
      <c r="A91" s="28" t="s">
        <v>126</v>
      </c>
      <c r="B91" s="29">
        <v>32.0</v>
      </c>
      <c r="C91" s="29">
        <v>12.0</v>
      </c>
      <c r="D91" s="29">
        <v>0.0</v>
      </c>
      <c r="E91" s="29">
        <v>12.0</v>
      </c>
      <c r="F91" s="29">
        <v>10.0</v>
      </c>
      <c r="G91" s="28">
        <v>0.4</v>
      </c>
      <c r="H91" s="28">
        <v>0.08</v>
      </c>
      <c r="I91" s="29">
        <v>1.0</v>
      </c>
      <c r="J91" s="34">
        <f t="shared" si="1"/>
        <v>0</v>
      </c>
      <c r="K91" s="30" t="str">
        <f t="shared" si="2"/>
        <v>06</v>
      </c>
      <c r="L91" s="31" t="str">
        <f t="shared" si="3"/>
        <v>2016-11-10</v>
      </c>
    </row>
    <row r="92" ht="15.75" customHeight="1">
      <c r="A92" s="28" t="s">
        <v>127</v>
      </c>
      <c r="B92" s="29">
        <v>26.0</v>
      </c>
      <c r="C92" s="29">
        <v>11.0</v>
      </c>
      <c r="D92" s="29">
        <v>0.0</v>
      </c>
      <c r="E92" s="29">
        <v>10.0</v>
      </c>
      <c r="F92" s="29">
        <v>11.0</v>
      </c>
      <c r="G92" s="28">
        <v>0.4</v>
      </c>
      <c r="H92" s="28">
        <v>0.09</v>
      </c>
      <c r="I92" s="29">
        <v>1.0</v>
      </c>
      <c r="J92" s="34">
        <f t="shared" si="1"/>
        <v>0</v>
      </c>
      <c r="K92" s="30" t="str">
        <f t="shared" si="2"/>
        <v>05</v>
      </c>
      <c r="L92" s="31" t="str">
        <f t="shared" si="3"/>
        <v>2016-11-10</v>
      </c>
    </row>
    <row r="93" ht="15.75" customHeight="1">
      <c r="A93" s="28" t="s">
        <v>128</v>
      </c>
      <c r="B93" s="29">
        <v>26.0</v>
      </c>
      <c r="C93" s="29">
        <v>11.0</v>
      </c>
      <c r="D93" s="29">
        <v>0.0</v>
      </c>
      <c r="E93" s="29">
        <v>11.0</v>
      </c>
      <c r="F93" s="29">
        <v>10.0</v>
      </c>
      <c r="G93" s="28">
        <v>0.4</v>
      </c>
      <c r="H93" s="28">
        <v>0.09</v>
      </c>
      <c r="I93" s="29">
        <v>1.0</v>
      </c>
      <c r="J93" s="34">
        <f t="shared" si="1"/>
        <v>0</v>
      </c>
      <c r="K93" s="30" t="str">
        <f t="shared" si="2"/>
        <v>04</v>
      </c>
      <c r="L93" s="31" t="str">
        <f t="shared" si="3"/>
        <v>2016-11-10</v>
      </c>
    </row>
    <row r="94" ht="15.75" customHeight="1">
      <c r="A94" s="28" t="s">
        <v>129</v>
      </c>
      <c r="B94" s="29">
        <v>26.0</v>
      </c>
      <c r="C94" s="29">
        <v>10.0</v>
      </c>
      <c r="D94" s="29">
        <v>0.0</v>
      </c>
      <c r="E94" s="29">
        <v>10.0</v>
      </c>
      <c r="F94" s="29">
        <v>10.0</v>
      </c>
      <c r="G94" s="28">
        <v>0.4</v>
      </c>
      <c r="H94" s="29">
        <v>0.0</v>
      </c>
      <c r="I94" s="28">
        <v>0.0</v>
      </c>
      <c r="J94" s="34">
        <f t="shared" si="1"/>
        <v>0</v>
      </c>
      <c r="K94" s="30" t="str">
        <f t="shared" si="2"/>
        <v>03</v>
      </c>
      <c r="L94" s="31" t="str">
        <f t="shared" si="3"/>
        <v>2016-11-10</v>
      </c>
    </row>
    <row r="95" ht="15.75" customHeight="1">
      <c r="A95" s="28" t="s">
        <v>130</v>
      </c>
      <c r="B95" s="29">
        <v>31.0</v>
      </c>
      <c r="C95" s="29">
        <v>13.0</v>
      </c>
      <c r="D95" s="29">
        <v>0.0</v>
      </c>
      <c r="E95" s="29">
        <v>13.0</v>
      </c>
      <c r="F95" s="29">
        <v>9.0</v>
      </c>
      <c r="G95" s="28">
        <v>0.4</v>
      </c>
      <c r="H95" s="29">
        <v>0.0</v>
      </c>
      <c r="I95" s="28">
        <v>0.0</v>
      </c>
      <c r="J95" s="34">
        <f t="shared" si="1"/>
        <v>0</v>
      </c>
      <c r="K95" s="30" t="str">
        <f t="shared" si="2"/>
        <v>02</v>
      </c>
      <c r="L95" s="31" t="str">
        <f t="shared" si="3"/>
        <v>2016-11-10</v>
      </c>
    </row>
    <row r="96" ht="15.75" customHeight="1">
      <c r="A96" s="28" t="s">
        <v>131</v>
      </c>
      <c r="B96" s="29">
        <v>38.0</v>
      </c>
      <c r="C96" s="29">
        <v>15.0</v>
      </c>
      <c r="D96" s="29">
        <v>2.0</v>
      </c>
      <c r="E96" s="29">
        <v>13.0</v>
      </c>
      <c r="F96" s="29">
        <v>10.0</v>
      </c>
      <c r="G96" s="28">
        <v>0.4</v>
      </c>
      <c r="H96" s="28">
        <v>0.4</v>
      </c>
      <c r="I96" s="29">
        <v>6.0</v>
      </c>
      <c r="J96" s="34">
        <f t="shared" si="1"/>
        <v>0.1333333333</v>
      </c>
      <c r="K96" s="30" t="str">
        <f t="shared" si="2"/>
        <v>01</v>
      </c>
      <c r="L96" s="31" t="str">
        <f t="shared" si="3"/>
        <v>2016-11-10</v>
      </c>
    </row>
    <row r="97" ht="15.75" customHeight="1">
      <c r="A97" s="28" t="s">
        <v>132</v>
      </c>
      <c r="B97" s="29">
        <v>49.0</v>
      </c>
      <c r="C97" s="29">
        <v>18.0</v>
      </c>
      <c r="D97" s="29">
        <v>4.0</v>
      </c>
      <c r="E97" s="29">
        <v>14.0</v>
      </c>
      <c r="F97" s="29">
        <v>16.0</v>
      </c>
      <c r="G97" s="28">
        <v>0.4</v>
      </c>
      <c r="H97" s="28">
        <v>0.44</v>
      </c>
      <c r="I97" s="29">
        <v>8.0</v>
      </c>
      <c r="J97" s="34">
        <f t="shared" si="1"/>
        <v>0.2222222222</v>
      </c>
      <c r="K97" s="30" t="str">
        <f t="shared" si="2"/>
        <v>00</v>
      </c>
      <c r="L97" s="31" t="str">
        <f t="shared" si="3"/>
        <v>2016-11-10</v>
      </c>
    </row>
    <row r="98" ht="15.75" customHeight="1">
      <c r="A98" s="28" t="s">
        <v>133</v>
      </c>
      <c r="B98" s="29">
        <v>66.0</v>
      </c>
      <c r="C98" s="29">
        <v>24.0</v>
      </c>
      <c r="D98" s="29">
        <v>5.0</v>
      </c>
      <c r="E98" s="29">
        <v>19.0</v>
      </c>
      <c r="F98" s="29">
        <v>19.0</v>
      </c>
      <c r="G98" s="28">
        <v>0.4</v>
      </c>
      <c r="H98" s="28">
        <v>0.63</v>
      </c>
      <c r="I98" s="29">
        <v>15.0</v>
      </c>
      <c r="J98" s="34">
        <f t="shared" si="1"/>
        <v>0.2083333333</v>
      </c>
      <c r="K98" s="30" t="str">
        <f t="shared" si="2"/>
        <v>23</v>
      </c>
      <c r="L98" s="31" t="str">
        <f t="shared" si="3"/>
        <v>2016-11-09</v>
      </c>
    </row>
    <row r="99" ht="15.75" customHeight="1">
      <c r="A99" s="28" t="s">
        <v>134</v>
      </c>
      <c r="B99" s="29">
        <v>86.0</v>
      </c>
      <c r="C99" s="29">
        <v>27.0</v>
      </c>
      <c r="D99" s="29">
        <v>5.0</v>
      </c>
      <c r="E99" s="29">
        <v>22.0</v>
      </c>
      <c r="F99" s="29">
        <v>23.0</v>
      </c>
      <c r="G99" s="28">
        <v>0.3</v>
      </c>
      <c r="H99" s="28">
        <v>0.48</v>
      </c>
      <c r="I99" s="29">
        <v>13.0</v>
      </c>
      <c r="J99" s="34">
        <f t="shared" si="1"/>
        <v>0.1851851852</v>
      </c>
      <c r="K99" s="30" t="str">
        <f t="shared" si="2"/>
        <v>22</v>
      </c>
      <c r="L99" s="31" t="str">
        <f t="shared" si="3"/>
        <v>2016-11-09</v>
      </c>
    </row>
    <row r="100" ht="15.75" customHeight="1">
      <c r="A100" s="28" t="s">
        <v>135</v>
      </c>
      <c r="B100" s="29">
        <v>90.0</v>
      </c>
      <c r="C100" s="29">
        <v>36.0</v>
      </c>
      <c r="D100" s="29">
        <v>6.0</v>
      </c>
      <c r="E100" s="29">
        <v>30.0</v>
      </c>
      <c r="F100" s="29">
        <v>20.0</v>
      </c>
      <c r="G100" s="28">
        <v>0.4</v>
      </c>
      <c r="H100" s="28">
        <v>0.47</v>
      </c>
      <c r="I100" s="29">
        <v>17.0</v>
      </c>
      <c r="J100" s="34">
        <f t="shared" si="1"/>
        <v>0.1666666667</v>
      </c>
      <c r="K100" s="30" t="str">
        <f t="shared" si="2"/>
        <v>21</v>
      </c>
      <c r="L100" s="31" t="str">
        <f t="shared" si="3"/>
        <v>2016-11-09</v>
      </c>
    </row>
    <row r="101" ht="15.75" customHeight="1">
      <c r="A101" s="28" t="s">
        <v>136</v>
      </c>
      <c r="B101" s="29">
        <v>94.0</v>
      </c>
      <c r="C101" s="29">
        <v>45.0</v>
      </c>
      <c r="D101" s="29">
        <v>11.0</v>
      </c>
      <c r="E101" s="29">
        <v>34.0</v>
      </c>
      <c r="F101" s="29">
        <v>20.0</v>
      </c>
      <c r="G101" s="28">
        <v>0.5</v>
      </c>
      <c r="H101" s="28">
        <v>0.51</v>
      </c>
      <c r="I101" s="29">
        <v>23.0</v>
      </c>
      <c r="J101" s="34">
        <f t="shared" si="1"/>
        <v>0.2444444444</v>
      </c>
      <c r="K101" s="30" t="str">
        <f t="shared" si="2"/>
        <v>20</v>
      </c>
      <c r="L101" s="31" t="str">
        <f t="shared" si="3"/>
        <v>2016-11-09</v>
      </c>
    </row>
    <row r="102" ht="15.75" customHeight="1">
      <c r="A102" s="28" t="s">
        <v>137</v>
      </c>
      <c r="B102" s="29">
        <v>93.0</v>
      </c>
      <c r="C102" s="29">
        <v>41.0</v>
      </c>
      <c r="D102" s="29">
        <v>18.0</v>
      </c>
      <c r="E102" s="29">
        <v>23.0</v>
      </c>
      <c r="F102" s="29">
        <v>20.0</v>
      </c>
      <c r="G102" s="28">
        <v>0.4</v>
      </c>
      <c r="H102" s="28">
        <v>0.68</v>
      </c>
      <c r="I102" s="29">
        <v>28.0</v>
      </c>
      <c r="J102" s="34">
        <f t="shared" si="1"/>
        <v>0.4390243902</v>
      </c>
      <c r="K102" s="30" t="str">
        <f t="shared" si="2"/>
        <v>19</v>
      </c>
      <c r="L102" s="31" t="str">
        <f t="shared" si="3"/>
        <v>2016-11-09</v>
      </c>
    </row>
    <row r="103" ht="15.75" customHeight="1">
      <c r="A103" s="28" t="s">
        <v>138</v>
      </c>
      <c r="B103" s="29">
        <v>86.0</v>
      </c>
      <c r="C103" s="29">
        <v>33.0</v>
      </c>
      <c r="D103" s="29">
        <v>17.0</v>
      </c>
      <c r="E103" s="29">
        <v>16.0</v>
      </c>
      <c r="F103" s="29">
        <v>23.0</v>
      </c>
      <c r="G103" s="28">
        <v>0.4</v>
      </c>
      <c r="H103" s="28">
        <v>0.94</v>
      </c>
      <c r="I103" s="29">
        <v>31.0</v>
      </c>
      <c r="J103" s="34">
        <f t="shared" si="1"/>
        <v>0.5151515152</v>
      </c>
      <c r="K103" s="30" t="str">
        <f t="shared" si="2"/>
        <v>18</v>
      </c>
      <c r="L103" s="31" t="str">
        <f t="shared" si="3"/>
        <v>2016-11-09</v>
      </c>
    </row>
    <row r="104" ht="15.75" customHeight="1">
      <c r="A104" s="28" t="s">
        <v>139</v>
      </c>
      <c r="B104" s="29">
        <v>85.0</v>
      </c>
      <c r="C104" s="29">
        <v>37.0</v>
      </c>
      <c r="D104" s="29">
        <v>10.0</v>
      </c>
      <c r="E104" s="29">
        <v>27.0</v>
      </c>
      <c r="F104" s="29">
        <v>21.0</v>
      </c>
      <c r="G104" s="28">
        <v>0.4</v>
      </c>
      <c r="H104" s="28">
        <v>0.43</v>
      </c>
      <c r="I104" s="29">
        <v>16.0</v>
      </c>
      <c r="J104" s="34">
        <f t="shared" si="1"/>
        <v>0.2702702703</v>
      </c>
      <c r="K104" s="30" t="str">
        <f t="shared" si="2"/>
        <v>17</v>
      </c>
      <c r="L104" s="31" t="str">
        <f t="shared" si="3"/>
        <v>2016-11-09</v>
      </c>
    </row>
    <row r="105" ht="15.75" customHeight="1">
      <c r="A105" s="28" t="s">
        <v>140</v>
      </c>
      <c r="B105" s="29">
        <v>95.0</v>
      </c>
      <c r="C105" s="29">
        <v>28.0</v>
      </c>
      <c r="D105" s="29">
        <v>5.0</v>
      </c>
      <c r="E105" s="29">
        <v>22.0</v>
      </c>
      <c r="F105" s="29">
        <v>24.0</v>
      </c>
      <c r="G105" s="28">
        <v>0.3</v>
      </c>
      <c r="H105" s="28">
        <v>0.46</v>
      </c>
      <c r="I105" s="29">
        <v>13.0</v>
      </c>
      <c r="J105" s="34">
        <f t="shared" si="1"/>
        <v>0.1785714286</v>
      </c>
      <c r="K105" s="30" t="str">
        <f t="shared" si="2"/>
        <v>16</v>
      </c>
      <c r="L105" s="31" t="str">
        <f t="shared" si="3"/>
        <v>2016-11-09</v>
      </c>
    </row>
    <row r="106" ht="15.75" customHeight="1">
      <c r="A106" s="28" t="s">
        <v>141</v>
      </c>
      <c r="B106" s="29">
        <v>75.0</v>
      </c>
      <c r="C106" s="29">
        <v>26.0</v>
      </c>
      <c r="D106" s="29">
        <v>2.0</v>
      </c>
      <c r="E106" s="29">
        <v>24.0</v>
      </c>
      <c r="F106" s="29">
        <v>21.0</v>
      </c>
      <c r="G106" s="28">
        <v>0.3</v>
      </c>
      <c r="H106" s="28">
        <v>0.15</v>
      </c>
      <c r="I106" s="29">
        <v>4.0</v>
      </c>
      <c r="J106" s="34">
        <f t="shared" si="1"/>
        <v>0.07692307692</v>
      </c>
      <c r="K106" s="30" t="str">
        <f t="shared" si="2"/>
        <v>15</v>
      </c>
      <c r="L106" s="31" t="str">
        <f t="shared" si="3"/>
        <v>2016-11-09</v>
      </c>
    </row>
    <row r="107" ht="15.75" customHeight="1">
      <c r="A107" s="28" t="s">
        <v>142</v>
      </c>
      <c r="B107" s="29">
        <v>72.0</v>
      </c>
      <c r="C107" s="29">
        <v>28.0</v>
      </c>
      <c r="D107" s="29">
        <v>2.0</v>
      </c>
      <c r="E107" s="29">
        <v>26.0</v>
      </c>
      <c r="F107" s="29">
        <v>20.0</v>
      </c>
      <c r="G107" s="28">
        <v>0.4</v>
      </c>
      <c r="H107" s="28">
        <v>0.14</v>
      </c>
      <c r="I107" s="29">
        <v>4.0</v>
      </c>
      <c r="J107" s="34">
        <f t="shared" si="1"/>
        <v>0.07142857143</v>
      </c>
      <c r="K107" s="30" t="str">
        <f t="shared" si="2"/>
        <v>14</v>
      </c>
      <c r="L107" s="31" t="str">
        <f t="shared" si="3"/>
        <v>2016-11-09</v>
      </c>
    </row>
    <row r="108" ht="15.75" customHeight="1">
      <c r="A108" s="28" t="s">
        <v>143</v>
      </c>
      <c r="B108" s="29">
        <v>81.0</v>
      </c>
      <c r="C108" s="29">
        <v>30.0</v>
      </c>
      <c r="D108" s="29">
        <v>4.0</v>
      </c>
      <c r="E108" s="29">
        <v>25.0</v>
      </c>
      <c r="F108" s="29">
        <v>21.0</v>
      </c>
      <c r="G108" s="28">
        <v>0.4</v>
      </c>
      <c r="H108" s="28">
        <v>0.17</v>
      </c>
      <c r="I108" s="29">
        <v>5.0</v>
      </c>
      <c r="J108" s="34">
        <f t="shared" si="1"/>
        <v>0.1333333333</v>
      </c>
      <c r="K108" s="30" t="str">
        <f t="shared" si="2"/>
        <v>13</v>
      </c>
      <c r="L108" s="31" t="str">
        <f t="shared" si="3"/>
        <v>2016-11-09</v>
      </c>
    </row>
    <row r="109" ht="15.75" customHeight="1">
      <c r="A109" s="28" t="s">
        <v>144</v>
      </c>
      <c r="B109" s="29">
        <v>75.0</v>
      </c>
      <c r="C109" s="29">
        <v>27.0</v>
      </c>
      <c r="D109" s="29">
        <v>3.0</v>
      </c>
      <c r="E109" s="29">
        <v>23.0</v>
      </c>
      <c r="F109" s="29">
        <v>25.0</v>
      </c>
      <c r="G109" s="28">
        <v>0.4</v>
      </c>
      <c r="H109" s="28">
        <v>0.33</v>
      </c>
      <c r="I109" s="29">
        <v>9.0</v>
      </c>
      <c r="J109" s="34">
        <f t="shared" si="1"/>
        <v>0.1111111111</v>
      </c>
      <c r="K109" s="30" t="str">
        <f t="shared" si="2"/>
        <v>12</v>
      </c>
      <c r="L109" s="31" t="str">
        <f t="shared" si="3"/>
        <v>2016-11-09</v>
      </c>
    </row>
    <row r="110" ht="15.75" customHeight="1">
      <c r="A110" s="28" t="s">
        <v>145</v>
      </c>
      <c r="B110" s="29">
        <v>76.0</v>
      </c>
      <c r="C110" s="29">
        <v>27.0</v>
      </c>
      <c r="D110" s="29">
        <v>5.0</v>
      </c>
      <c r="E110" s="29">
        <v>22.0</v>
      </c>
      <c r="F110" s="29">
        <v>20.0</v>
      </c>
      <c r="G110" s="28">
        <v>0.4</v>
      </c>
      <c r="H110" s="28">
        <v>0.26</v>
      </c>
      <c r="I110" s="29">
        <v>7.0</v>
      </c>
      <c r="J110" s="34">
        <f t="shared" si="1"/>
        <v>0.1851851852</v>
      </c>
      <c r="K110" s="30" t="str">
        <f t="shared" si="2"/>
        <v>11</v>
      </c>
      <c r="L110" s="31" t="str">
        <f t="shared" si="3"/>
        <v>2016-11-09</v>
      </c>
    </row>
    <row r="111" ht="15.75" customHeight="1">
      <c r="A111" s="28" t="s">
        <v>146</v>
      </c>
      <c r="B111" s="29">
        <v>70.0</v>
      </c>
      <c r="C111" s="29">
        <v>28.0</v>
      </c>
      <c r="D111" s="29">
        <v>7.0</v>
      </c>
      <c r="E111" s="29">
        <v>22.0</v>
      </c>
      <c r="F111" s="29">
        <v>16.0</v>
      </c>
      <c r="G111" s="28">
        <v>0.4</v>
      </c>
      <c r="H111" s="28">
        <v>0.36</v>
      </c>
      <c r="I111" s="29">
        <v>10.0</v>
      </c>
      <c r="J111" s="34">
        <f t="shared" si="1"/>
        <v>0.25</v>
      </c>
      <c r="K111" s="30" t="str">
        <f t="shared" si="2"/>
        <v>10</v>
      </c>
      <c r="L111" s="31" t="str">
        <f t="shared" si="3"/>
        <v>2016-11-09</v>
      </c>
    </row>
    <row r="112" ht="15.75" customHeight="1">
      <c r="A112" s="28" t="s">
        <v>147</v>
      </c>
      <c r="B112" s="29">
        <v>55.0</v>
      </c>
      <c r="C112" s="29">
        <v>26.0</v>
      </c>
      <c r="D112" s="29">
        <v>15.0</v>
      </c>
      <c r="E112" s="29">
        <v>11.0</v>
      </c>
      <c r="F112" s="29">
        <v>14.0</v>
      </c>
      <c r="G112" s="28">
        <v>0.5</v>
      </c>
      <c r="H112" s="28">
        <v>1.0</v>
      </c>
      <c r="I112" s="29">
        <v>26.0</v>
      </c>
      <c r="J112" s="34">
        <f t="shared" si="1"/>
        <v>0.5769230769</v>
      </c>
      <c r="K112" s="30" t="str">
        <f t="shared" si="2"/>
        <v>09</v>
      </c>
      <c r="L112" s="31" t="str">
        <f t="shared" si="3"/>
        <v>2016-11-09</v>
      </c>
    </row>
    <row r="113" ht="15.75" customHeight="1">
      <c r="A113" s="28" t="s">
        <v>148</v>
      </c>
      <c r="B113" s="29">
        <v>49.0</v>
      </c>
      <c r="C113" s="29">
        <v>18.0</v>
      </c>
      <c r="D113" s="29">
        <v>10.0</v>
      </c>
      <c r="E113" s="29">
        <v>8.0</v>
      </c>
      <c r="F113" s="29">
        <v>10.0</v>
      </c>
      <c r="G113" s="28">
        <v>0.4</v>
      </c>
      <c r="H113" s="28">
        <v>1.06</v>
      </c>
      <c r="I113" s="29">
        <v>19.0</v>
      </c>
      <c r="J113" s="34">
        <f t="shared" si="1"/>
        <v>0.5555555556</v>
      </c>
      <c r="K113" s="30" t="str">
        <f t="shared" si="2"/>
        <v>08</v>
      </c>
      <c r="L113" s="31" t="str">
        <f t="shared" si="3"/>
        <v>2016-11-09</v>
      </c>
    </row>
    <row r="114" ht="15.75" customHeight="1">
      <c r="A114" s="28" t="s">
        <v>149</v>
      </c>
      <c r="B114" s="29">
        <v>37.0</v>
      </c>
      <c r="C114" s="29">
        <v>13.0</v>
      </c>
      <c r="D114" s="29">
        <v>3.0</v>
      </c>
      <c r="E114" s="29">
        <v>10.0</v>
      </c>
      <c r="F114" s="29">
        <v>9.0</v>
      </c>
      <c r="G114" s="28">
        <v>0.4</v>
      </c>
      <c r="H114" s="28">
        <v>0.77</v>
      </c>
      <c r="I114" s="29">
        <v>10.0</v>
      </c>
      <c r="J114" s="34">
        <f t="shared" si="1"/>
        <v>0.2307692308</v>
      </c>
      <c r="K114" s="30" t="str">
        <f t="shared" si="2"/>
        <v>07</v>
      </c>
      <c r="L114" s="31" t="str">
        <f t="shared" si="3"/>
        <v>2016-11-09</v>
      </c>
    </row>
    <row r="115" ht="15.75" customHeight="1">
      <c r="A115" s="28" t="s">
        <v>150</v>
      </c>
      <c r="B115" s="29">
        <v>24.0</v>
      </c>
      <c r="C115" s="29">
        <v>6.0</v>
      </c>
      <c r="D115" s="29">
        <v>0.0</v>
      </c>
      <c r="E115" s="29">
        <v>6.0</v>
      </c>
      <c r="F115" s="29">
        <v>7.0</v>
      </c>
      <c r="G115" s="28">
        <v>0.3</v>
      </c>
      <c r="H115" s="29">
        <v>0.0</v>
      </c>
      <c r="I115" s="28">
        <v>0.0</v>
      </c>
      <c r="J115" s="34">
        <f t="shared" si="1"/>
        <v>0</v>
      </c>
      <c r="K115" s="30" t="str">
        <f t="shared" si="2"/>
        <v>06</v>
      </c>
      <c r="L115" s="31" t="str">
        <f t="shared" si="3"/>
        <v>2016-11-09</v>
      </c>
    </row>
    <row r="116" ht="15.75" customHeight="1">
      <c r="A116" s="28" t="s">
        <v>151</v>
      </c>
      <c r="B116" s="29">
        <v>14.0</v>
      </c>
      <c r="C116" s="29">
        <v>4.0</v>
      </c>
      <c r="D116" s="29">
        <v>0.0</v>
      </c>
      <c r="E116" s="29">
        <v>4.0</v>
      </c>
      <c r="F116" s="29">
        <v>4.0</v>
      </c>
      <c r="G116" s="28">
        <v>0.3</v>
      </c>
      <c r="H116" s="28">
        <v>0.25</v>
      </c>
      <c r="I116" s="29">
        <v>1.0</v>
      </c>
      <c r="J116" s="34">
        <f t="shared" si="1"/>
        <v>0</v>
      </c>
      <c r="K116" s="30" t="str">
        <f t="shared" si="2"/>
        <v>05</v>
      </c>
      <c r="L116" s="31" t="str">
        <f t="shared" si="3"/>
        <v>2016-11-09</v>
      </c>
    </row>
    <row r="117" ht="15.75" customHeight="1">
      <c r="A117" s="28" t="s">
        <v>152</v>
      </c>
      <c r="B117" s="29">
        <v>14.0</v>
      </c>
      <c r="C117" s="29">
        <v>5.0</v>
      </c>
      <c r="D117" s="29">
        <v>0.0</v>
      </c>
      <c r="E117" s="29">
        <v>5.0</v>
      </c>
      <c r="F117" s="29">
        <v>6.0</v>
      </c>
      <c r="G117" s="28">
        <v>0.4</v>
      </c>
      <c r="H117" s="29">
        <v>0.0</v>
      </c>
      <c r="I117" s="28">
        <v>0.0</v>
      </c>
      <c r="J117" s="34">
        <f t="shared" si="1"/>
        <v>0</v>
      </c>
      <c r="K117" s="30" t="str">
        <f t="shared" si="2"/>
        <v>04</v>
      </c>
      <c r="L117" s="31" t="str">
        <f t="shared" si="3"/>
        <v>2016-11-09</v>
      </c>
    </row>
    <row r="118" ht="15.75" customHeight="1">
      <c r="A118" s="28" t="s">
        <v>153</v>
      </c>
      <c r="B118" s="29">
        <v>17.0</v>
      </c>
      <c r="C118" s="29">
        <v>8.0</v>
      </c>
      <c r="D118" s="29">
        <v>0.0</v>
      </c>
      <c r="E118" s="29">
        <v>7.0</v>
      </c>
      <c r="F118" s="29">
        <v>5.0</v>
      </c>
      <c r="G118" s="28">
        <v>0.5</v>
      </c>
      <c r="H118" s="28">
        <v>0.13</v>
      </c>
      <c r="I118" s="29">
        <v>1.0</v>
      </c>
      <c r="J118" s="34">
        <f t="shared" si="1"/>
        <v>0</v>
      </c>
      <c r="K118" s="30" t="str">
        <f t="shared" si="2"/>
        <v>03</v>
      </c>
      <c r="L118" s="31" t="str">
        <f t="shared" si="3"/>
        <v>2016-11-09</v>
      </c>
    </row>
    <row r="119" ht="15.75" customHeight="1">
      <c r="A119" s="28" t="s">
        <v>154</v>
      </c>
      <c r="B119" s="29">
        <v>25.0</v>
      </c>
      <c r="C119" s="29">
        <v>12.0</v>
      </c>
      <c r="D119" s="29">
        <v>1.0</v>
      </c>
      <c r="E119" s="29">
        <v>11.0</v>
      </c>
      <c r="F119" s="29">
        <v>6.0</v>
      </c>
      <c r="G119" s="28">
        <v>0.5</v>
      </c>
      <c r="H119" s="28">
        <v>0.08</v>
      </c>
      <c r="I119" s="29">
        <v>1.0</v>
      </c>
      <c r="J119" s="34">
        <f t="shared" si="1"/>
        <v>0.08333333333</v>
      </c>
      <c r="K119" s="30" t="str">
        <f t="shared" si="2"/>
        <v>02</v>
      </c>
      <c r="L119" s="31" t="str">
        <f t="shared" si="3"/>
        <v>2016-11-09</v>
      </c>
    </row>
    <row r="120" ht="15.75" customHeight="1">
      <c r="A120" s="28" t="s">
        <v>155</v>
      </c>
      <c r="B120" s="29">
        <v>31.0</v>
      </c>
      <c r="C120" s="29">
        <v>18.0</v>
      </c>
      <c r="D120" s="29">
        <v>3.0</v>
      </c>
      <c r="E120" s="29">
        <v>15.0</v>
      </c>
      <c r="F120" s="29">
        <v>8.0</v>
      </c>
      <c r="G120" s="28">
        <v>0.6</v>
      </c>
      <c r="H120" s="28">
        <v>0.39</v>
      </c>
      <c r="I120" s="29">
        <v>7.0</v>
      </c>
      <c r="J120" s="34">
        <f t="shared" si="1"/>
        <v>0.1666666667</v>
      </c>
      <c r="K120" s="30" t="str">
        <f t="shared" si="2"/>
        <v>01</v>
      </c>
      <c r="L120" s="31" t="str">
        <f t="shared" si="3"/>
        <v>2016-11-09</v>
      </c>
    </row>
    <row r="121" ht="15.75" customHeight="1">
      <c r="A121" s="28" t="s">
        <v>156</v>
      </c>
      <c r="B121" s="29">
        <v>44.0</v>
      </c>
      <c r="C121" s="29">
        <v>19.0</v>
      </c>
      <c r="D121" s="29">
        <v>3.0</v>
      </c>
      <c r="E121" s="29">
        <v>16.0</v>
      </c>
      <c r="F121" s="29">
        <v>8.0</v>
      </c>
      <c r="G121" s="28">
        <v>0.4</v>
      </c>
      <c r="H121" s="28">
        <v>0.47</v>
      </c>
      <c r="I121" s="29">
        <v>9.0</v>
      </c>
      <c r="J121" s="34">
        <f t="shared" si="1"/>
        <v>0.1578947368</v>
      </c>
      <c r="K121" s="30" t="str">
        <f t="shared" si="2"/>
        <v>00</v>
      </c>
      <c r="L121" s="31" t="str">
        <f t="shared" si="3"/>
        <v>2016-11-09</v>
      </c>
    </row>
    <row r="122" ht="15.75" customHeight="1">
      <c r="A122" s="28" t="s">
        <v>157</v>
      </c>
      <c r="B122" s="29">
        <v>49.0</v>
      </c>
      <c r="C122" s="29">
        <v>21.0</v>
      </c>
      <c r="D122" s="29">
        <v>7.0</v>
      </c>
      <c r="E122" s="29">
        <v>14.0</v>
      </c>
      <c r="F122" s="29">
        <v>13.0</v>
      </c>
      <c r="G122" s="28">
        <v>0.4</v>
      </c>
      <c r="H122" s="28">
        <v>1.0</v>
      </c>
      <c r="I122" s="29">
        <v>21.0</v>
      </c>
      <c r="J122" s="34">
        <f t="shared" si="1"/>
        <v>0.3333333333</v>
      </c>
      <c r="K122" s="30" t="str">
        <f t="shared" si="2"/>
        <v>23</v>
      </c>
      <c r="L122" s="31" t="str">
        <f t="shared" si="3"/>
        <v>2016-11-08</v>
      </c>
    </row>
    <row r="123" ht="15.75" customHeight="1">
      <c r="A123" s="28" t="s">
        <v>158</v>
      </c>
      <c r="B123" s="29">
        <v>61.0</v>
      </c>
      <c r="C123" s="29">
        <v>26.0</v>
      </c>
      <c r="D123" s="29">
        <v>4.0</v>
      </c>
      <c r="E123" s="29">
        <v>22.0</v>
      </c>
      <c r="F123" s="29">
        <v>14.0</v>
      </c>
      <c r="G123" s="28">
        <v>0.4</v>
      </c>
      <c r="H123" s="28">
        <v>0.46</v>
      </c>
      <c r="I123" s="29">
        <v>12.0</v>
      </c>
      <c r="J123" s="34">
        <f t="shared" si="1"/>
        <v>0.1538461538</v>
      </c>
      <c r="K123" s="30" t="str">
        <f t="shared" si="2"/>
        <v>22</v>
      </c>
      <c r="L123" s="31" t="str">
        <f t="shared" si="3"/>
        <v>2016-11-08</v>
      </c>
    </row>
    <row r="124" ht="15.75" customHeight="1">
      <c r="A124" s="28" t="s">
        <v>159</v>
      </c>
      <c r="B124" s="29">
        <v>75.0</v>
      </c>
      <c r="C124" s="29">
        <v>26.0</v>
      </c>
      <c r="D124" s="29">
        <v>5.0</v>
      </c>
      <c r="E124" s="29">
        <v>21.0</v>
      </c>
      <c r="F124" s="29">
        <v>19.0</v>
      </c>
      <c r="G124" s="28">
        <v>0.3</v>
      </c>
      <c r="H124" s="28">
        <v>0.65</v>
      </c>
      <c r="I124" s="29">
        <v>17.0</v>
      </c>
      <c r="J124" s="34">
        <f t="shared" si="1"/>
        <v>0.1923076923</v>
      </c>
      <c r="K124" s="30" t="str">
        <f t="shared" si="2"/>
        <v>21</v>
      </c>
      <c r="L124" s="31" t="str">
        <f t="shared" si="3"/>
        <v>2016-11-08</v>
      </c>
    </row>
    <row r="125" ht="15.75" customHeight="1">
      <c r="A125" s="28" t="s">
        <v>160</v>
      </c>
      <c r="B125" s="29">
        <v>85.0</v>
      </c>
      <c r="C125" s="29">
        <v>29.0</v>
      </c>
      <c r="D125" s="29">
        <v>11.0</v>
      </c>
      <c r="E125" s="29">
        <v>19.0</v>
      </c>
      <c r="F125" s="29">
        <v>25.0</v>
      </c>
      <c r="G125" s="28">
        <v>0.3</v>
      </c>
      <c r="H125" s="28">
        <v>0.76</v>
      </c>
      <c r="I125" s="29">
        <v>22.0</v>
      </c>
      <c r="J125" s="34">
        <f t="shared" si="1"/>
        <v>0.3793103448</v>
      </c>
      <c r="K125" s="30" t="str">
        <f t="shared" si="2"/>
        <v>20</v>
      </c>
      <c r="L125" s="31" t="str">
        <f t="shared" si="3"/>
        <v>2016-11-08</v>
      </c>
    </row>
    <row r="126" ht="15.75" customHeight="1">
      <c r="A126" s="28" t="s">
        <v>161</v>
      </c>
      <c r="B126" s="29">
        <v>83.0</v>
      </c>
      <c r="C126" s="29">
        <v>31.0</v>
      </c>
      <c r="D126" s="29">
        <v>12.0</v>
      </c>
      <c r="E126" s="29">
        <v>19.0</v>
      </c>
      <c r="F126" s="29">
        <v>22.0</v>
      </c>
      <c r="G126" s="28">
        <v>0.4</v>
      </c>
      <c r="H126" s="28">
        <v>0.87</v>
      </c>
      <c r="I126" s="29">
        <v>27.0</v>
      </c>
      <c r="J126" s="34">
        <f t="shared" si="1"/>
        <v>0.3870967742</v>
      </c>
      <c r="K126" s="30" t="str">
        <f t="shared" si="2"/>
        <v>19</v>
      </c>
      <c r="L126" s="31" t="str">
        <f t="shared" si="3"/>
        <v>2016-11-08</v>
      </c>
    </row>
    <row r="127" ht="15.75" customHeight="1">
      <c r="A127" s="28" t="s">
        <v>162</v>
      </c>
      <c r="B127" s="29">
        <v>73.0</v>
      </c>
      <c r="C127" s="29">
        <v>22.0</v>
      </c>
      <c r="D127" s="29">
        <v>14.0</v>
      </c>
      <c r="E127" s="29">
        <v>9.0</v>
      </c>
      <c r="F127" s="29">
        <v>20.0</v>
      </c>
      <c r="G127" s="28">
        <v>0.3</v>
      </c>
      <c r="H127" s="28">
        <v>0.82</v>
      </c>
      <c r="I127" s="29">
        <v>18.0</v>
      </c>
      <c r="J127" s="34">
        <f t="shared" si="1"/>
        <v>0.6363636364</v>
      </c>
      <c r="K127" s="30" t="str">
        <f t="shared" si="2"/>
        <v>18</v>
      </c>
      <c r="L127" s="31" t="str">
        <f t="shared" si="3"/>
        <v>2016-11-08</v>
      </c>
    </row>
    <row r="128" ht="15.75" customHeight="1">
      <c r="A128" s="28" t="s">
        <v>163</v>
      </c>
      <c r="B128" s="29">
        <v>78.0</v>
      </c>
      <c r="C128" s="29">
        <v>26.0</v>
      </c>
      <c r="D128" s="29">
        <v>10.0</v>
      </c>
      <c r="E128" s="29">
        <v>16.0</v>
      </c>
      <c r="F128" s="29">
        <v>21.0</v>
      </c>
      <c r="G128" s="28">
        <v>0.3</v>
      </c>
      <c r="H128" s="28">
        <v>0.92</v>
      </c>
      <c r="I128" s="29">
        <v>24.0</v>
      </c>
      <c r="J128" s="34">
        <f t="shared" si="1"/>
        <v>0.3846153846</v>
      </c>
      <c r="K128" s="30" t="str">
        <f t="shared" si="2"/>
        <v>17</v>
      </c>
      <c r="L128" s="31" t="str">
        <f t="shared" si="3"/>
        <v>2016-11-08</v>
      </c>
    </row>
    <row r="129" ht="15.75" customHeight="1">
      <c r="A129" s="28" t="s">
        <v>164</v>
      </c>
      <c r="B129" s="29">
        <v>83.0</v>
      </c>
      <c r="C129" s="29">
        <v>32.0</v>
      </c>
      <c r="D129" s="29">
        <v>3.0</v>
      </c>
      <c r="E129" s="29">
        <v>29.0</v>
      </c>
      <c r="F129" s="29">
        <v>21.0</v>
      </c>
      <c r="G129" s="28">
        <v>0.4</v>
      </c>
      <c r="H129" s="28">
        <v>0.22</v>
      </c>
      <c r="I129" s="29">
        <v>7.0</v>
      </c>
      <c r="J129" s="34">
        <f t="shared" si="1"/>
        <v>0.09375</v>
      </c>
      <c r="K129" s="30" t="str">
        <f t="shared" si="2"/>
        <v>16</v>
      </c>
      <c r="L129" s="31" t="str">
        <f t="shared" si="3"/>
        <v>2016-11-08</v>
      </c>
    </row>
    <row r="130" ht="15.75" customHeight="1">
      <c r="A130" s="28" t="s">
        <v>165</v>
      </c>
      <c r="B130" s="29">
        <v>78.0</v>
      </c>
      <c r="C130" s="29">
        <v>33.0</v>
      </c>
      <c r="D130" s="29">
        <v>1.0</v>
      </c>
      <c r="E130" s="29">
        <v>32.0</v>
      </c>
      <c r="F130" s="29">
        <v>19.0</v>
      </c>
      <c r="G130" s="28">
        <v>0.4</v>
      </c>
      <c r="H130" s="28">
        <v>0.06</v>
      </c>
      <c r="I130" s="29">
        <v>2.0</v>
      </c>
      <c r="J130" s="34">
        <f t="shared" si="1"/>
        <v>0.0303030303</v>
      </c>
      <c r="K130" s="30" t="str">
        <f t="shared" si="2"/>
        <v>15</v>
      </c>
      <c r="L130" s="31" t="str">
        <f t="shared" si="3"/>
        <v>2016-11-08</v>
      </c>
    </row>
    <row r="131" ht="15.75" customHeight="1">
      <c r="A131" s="28" t="s">
        <v>166</v>
      </c>
      <c r="B131" s="29">
        <v>72.0</v>
      </c>
      <c r="C131" s="29">
        <v>26.0</v>
      </c>
      <c r="D131" s="29">
        <v>3.0</v>
      </c>
      <c r="E131" s="29">
        <v>22.0</v>
      </c>
      <c r="F131" s="29">
        <v>14.0</v>
      </c>
      <c r="G131" s="28">
        <v>0.4</v>
      </c>
      <c r="H131" s="28">
        <v>0.15</v>
      </c>
      <c r="I131" s="29">
        <v>4.0</v>
      </c>
      <c r="J131" s="34">
        <f t="shared" si="1"/>
        <v>0.1153846154</v>
      </c>
      <c r="K131" s="30" t="str">
        <f t="shared" si="2"/>
        <v>14</v>
      </c>
      <c r="L131" s="31" t="str">
        <f t="shared" si="3"/>
        <v>2016-11-08</v>
      </c>
    </row>
    <row r="132" ht="15.75" customHeight="1">
      <c r="A132" s="28" t="s">
        <v>167</v>
      </c>
      <c r="B132" s="29">
        <v>70.0</v>
      </c>
      <c r="C132" s="29">
        <v>27.0</v>
      </c>
      <c r="D132" s="29">
        <v>5.0</v>
      </c>
      <c r="E132" s="29">
        <v>22.0</v>
      </c>
      <c r="F132" s="29">
        <v>13.0</v>
      </c>
      <c r="G132" s="28">
        <v>0.4</v>
      </c>
      <c r="H132" s="28">
        <v>0.37</v>
      </c>
      <c r="I132" s="29">
        <v>10.0</v>
      </c>
      <c r="J132" s="34">
        <f t="shared" si="1"/>
        <v>0.1851851852</v>
      </c>
      <c r="K132" s="30" t="str">
        <f t="shared" si="2"/>
        <v>13</v>
      </c>
      <c r="L132" s="31" t="str">
        <f t="shared" si="3"/>
        <v>2016-11-08</v>
      </c>
    </row>
    <row r="133" ht="15.75" customHeight="1">
      <c r="A133" s="28" t="s">
        <v>168</v>
      </c>
      <c r="B133" s="29">
        <v>77.0</v>
      </c>
      <c r="C133" s="29">
        <v>32.0</v>
      </c>
      <c r="D133" s="29">
        <v>3.0</v>
      </c>
      <c r="E133" s="29">
        <v>30.0</v>
      </c>
      <c r="F133" s="29">
        <v>17.0</v>
      </c>
      <c r="G133" s="28">
        <v>0.4</v>
      </c>
      <c r="H133" s="28">
        <v>0.19</v>
      </c>
      <c r="I133" s="29">
        <v>6.0</v>
      </c>
      <c r="J133" s="34">
        <f t="shared" si="1"/>
        <v>0.09375</v>
      </c>
      <c r="K133" s="30" t="str">
        <f t="shared" si="2"/>
        <v>12</v>
      </c>
      <c r="L133" s="31" t="str">
        <f t="shared" si="3"/>
        <v>2016-11-08</v>
      </c>
    </row>
    <row r="134" ht="15.75" customHeight="1">
      <c r="A134" s="28" t="s">
        <v>169</v>
      </c>
      <c r="B134" s="29">
        <v>82.0</v>
      </c>
      <c r="C134" s="29">
        <v>35.0</v>
      </c>
      <c r="D134" s="29">
        <v>4.0</v>
      </c>
      <c r="E134" s="29">
        <v>30.0</v>
      </c>
      <c r="F134" s="29">
        <v>15.0</v>
      </c>
      <c r="G134" s="28">
        <v>0.4</v>
      </c>
      <c r="H134" s="28">
        <v>0.23</v>
      </c>
      <c r="I134" s="29">
        <v>8.0</v>
      </c>
      <c r="J134" s="34">
        <f t="shared" si="1"/>
        <v>0.1142857143</v>
      </c>
      <c r="K134" s="30" t="str">
        <f t="shared" si="2"/>
        <v>11</v>
      </c>
      <c r="L134" s="31" t="str">
        <f t="shared" si="3"/>
        <v>2016-11-08</v>
      </c>
    </row>
    <row r="135" ht="15.75" customHeight="1">
      <c r="A135" s="28" t="s">
        <v>170</v>
      </c>
      <c r="B135" s="29">
        <v>84.0</v>
      </c>
      <c r="C135" s="29">
        <v>42.0</v>
      </c>
      <c r="D135" s="29">
        <v>7.0</v>
      </c>
      <c r="E135" s="29">
        <v>35.0</v>
      </c>
      <c r="F135" s="29">
        <v>18.0</v>
      </c>
      <c r="G135" s="28">
        <v>0.5</v>
      </c>
      <c r="H135" s="28">
        <v>0.26</v>
      </c>
      <c r="I135" s="29">
        <v>11.0</v>
      </c>
      <c r="J135" s="34">
        <f t="shared" si="1"/>
        <v>0.1666666667</v>
      </c>
      <c r="K135" s="30" t="str">
        <f t="shared" si="2"/>
        <v>10</v>
      </c>
      <c r="L135" s="31" t="str">
        <f t="shared" si="3"/>
        <v>2016-11-08</v>
      </c>
    </row>
    <row r="136" ht="15.75" customHeight="1">
      <c r="A136" s="28" t="s">
        <v>171</v>
      </c>
      <c r="B136" s="29">
        <v>78.0</v>
      </c>
      <c r="C136" s="29">
        <v>35.0</v>
      </c>
      <c r="D136" s="29">
        <v>13.0</v>
      </c>
      <c r="E136" s="29">
        <v>21.0</v>
      </c>
      <c r="F136" s="29">
        <v>17.0</v>
      </c>
      <c r="G136" s="28">
        <v>0.4</v>
      </c>
      <c r="H136" s="28">
        <v>0.71</v>
      </c>
      <c r="I136" s="29">
        <v>25.0</v>
      </c>
      <c r="J136" s="34">
        <f t="shared" si="1"/>
        <v>0.3714285714</v>
      </c>
      <c r="K136" s="30" t="str">
        <f t="shared" si="2"/>
        <v>09</v>
      </c>
      <c r="L136" s="31" t="str">
        <f t="shared" si="3"/>
        <v>2016-11-08</v>
      </c>
    </row>
    <row r="137" ht="15.75" customHeight="1">
      <c r="A137" s="28" t="s">
        <v>172</v>
      </c>
      <c r="B137" s="29">
        <v>61.0</v>
      </c>
      <c r="C137" s="29">
        <v>23.0</v>
      </c>
      <c r="D137" s="29">
        <v>10.0</v>
      </c>
      <c r="E137" s="29">
        <v>14.0</v>
      </c>
      <c r="F137" s="29">
        <v>18.0</v>
      </c>
      <c r="G137" s="28">
        <v>0.4</v>
      </c>
      <c r="H137" s="28">
        <v>0.74</v>
      </c>
      <c r="I137" s="29">
        <v>17.0</v>
      </c>
      <c r="J137" s="34">
        <f t="shared" si="1"/>
        <v>0.4347826087</v>
      </c>
      <c r="K137" s="30" t="str">
        <f t="shared" si="2"/>
        <v>08</v>
      </c>
      <c r="L137" s="31" t="str">
        <f t="shared" si="3"/>
        <v>2016-11-08</v>
      </c>
    </row>
    <row r="138" ht="15.75" customHeight="1">
      <c r="A138" s="28" t="s">
        <v>173</v>
      </c>
      <c r="B138" s="29">
        <v>55.0</v>
      </c>
      <c r="C138" s="29">
        <v>23.0</v>
      </c>
      <c r="D138" s="29">
        <v>7.0</v>
      </c>
      <c r="E138" s="29">
        <v>16.0</v>
      </c>
      <c r="F138" s="29">
        <v>12.0</v>
      </c>
      <c r="G138" s="28">
        <v>0.4</v>
      </c>
      <c r="H138" s="28">
        <v>0.74</v>
      </c>
      <c r="I138" s="29">
        <v>17.0</v>
      </c>
      <c r="J138" s="34">
        <f t="shared" si="1"/>
        <v>0.3043478261</v>
      </c>
      <c r="K138" s="30" t="str">
        <f t="shared" si="2"/>
        <v>07</v>
      </c>
      <c r="L138" s="31" t="str">
        <f t="shared" si="3"/>
        <v>2016-11-08</v>
      </c>
    </row>
    <row r="139" ht="15.75" customHeight="1">
      <c r="A139" s="28" t="s">
        <v>174</v>
      </c>
      <c r="B139" s="29">
        <v>39.0</v>
      </c>
      <c r="C139" s="29">
        <v>20.0</v>
      </c>
      <c r="D139" s="29">
        <v>0.0</v>
      </c>
      <c r="E139" s="29">
        <v>19.0</v>
      </c>
      <c r="F139" s="29">
        <v>8.0</v>
      </c>
      <c r="G139" s="28">
        <v>0.5</v>
      </c>
      <c r="H139" s="28">
        <v>0.1</v>
      </c>
      <c r="I139" s="29">
        <v>2.0</v>
      </c>
      <c r="J139" s="34">
        <f t="shared" si="1"/>
        <v>0</v>
      </c>
      <c r="K139" s="30" t="str">
        <f t="shared" si="2"/>
        <v>06</v>
      </c>
      <c r="L139" s="31" t="str">
        <f t="shared" si="3"/>
        <v>2016-11-08</v>
      </c>
    </row>
    <row r="140" ht="15.75" customHeight="1">
      <c r="A140" s="28" t="s">
        <v>175</v>
      </c>
      <c r="B140" s="29">
        <v>34.0</v>
      </c>
      <c r="C140" s="29">
        <v>17.0</v>
      </c>
      <c r="D140" s="29">
        <v>0.0</v>
      </c>
      <c r="E140" s="29">
        <v>17.0</v>
      </c>
      <c r="F140" s="29">
        <v>8.0</v>
      </c>
      <c r="G140" s="28">
        <v>0.5</v>
      </c>
      <c r="H140" s="29">
        <v>0.0</v>
      </c>
      <c r="I140" s="28">
        <v>0.0</v>
      </c>
      <c r="J140" s="34">
        <f t="shared" si="1"/>
        <v>0</v>
      </c>
      <c r="K140" s="30" t="str">
        <f t="shared" si="2"/>
        <v>05</v>
      </c>
      <c r="L140" s="31" t="str">
        <f t="shared" si="3"/>
        <v>2016-11-08</v>
      </c>
    </row>
    <row r="141" ht="15.75" customHeight="1">
      <c r="A141" s="28" t="s">
        <v>176</v>
      </c>
      <c r="B141" s="29">
        <v>27.0</v>
      </c>
      <c r="C141" s="29">
        <v>16.0</v>
      </c>
      <c r="D141" s="29">
        <v>0.0</v>
      </c>
      <c r="E141" s="29">
        <v>16.0</v>
      </c>
      <c r="F141" s="29">
        <v>8.0</v>
      </c>
      <c r="G141" s="28">
        <v>0.6</v>
      </c>
      <c r="H141" s="29">
        <v>0.0</v>
      </c>
      <c r="I141" s="28">
        <v>0.0</v>
      </c>
      <c r="J141" s="34">
        <f t="shared" si="1"/>
        <v>0</v>
      </c>
      <c r="K141" s="30" t="str">
        <f t="shared" si="2"/>
        <v>04</v>
      </c>
      <c r="L141" s="31" t="str">
        <f t="shared" si="3"/>
        <v>2016-11-08</v>
      </c>
    </row>
    <row r="142" ht="15.75" customHeight="1">
      <c r="A142" s="28" t="s">
        <v>177</v>
      </c>
      <c r="B142" s="29">
        <v>26.0</v>
      </c>
      <c r="C142" s="29">
        <v>14.0</v>
      </c>
      <c r="D142" s="29">
        <v>0.0</v>
      </c>
      <c r="E142" s="29">
        <v>14.0</v>
      </c>
      <c r="F142" s="29">
        <v>8.0</v>
      </c>
      <c r="G142" s="28">
        <v>0.5</v>
      </c>
      <c r="H142" s="28">
        <v>0.07</v>
      </c>
      <c r="I142" s="29">
        <v>1.0</v>
      </c>
      <c r="J142" s="34">
        <f t="shared" si="1"/>
        <v>0</v>
      </c>
      <c r="K142" s="30" t="str">
        <f t="shared" si="2"/>
        <v>03</v>
      </c>
      <c r="L142" s="31" t="str">
        <f t="shared" si="3"/>
        <v>2016-11-08</v>
      </c>
    </row>
    <row r="143" ht="15.75" customHeight="1">
      <c r="A143" s="28" t="s">
        <v>178</v>
      </c>
      <c r="B143" s="29">
        <v>29.0</v>
      </c>
      <c r="C143" s="29">
        <v>16.0</v>
      </c>
      <c r="D143" s="29">
        <v>0.0</v>
      </c>
      <c r="E143" s="29">
        <v>16.0</v>
      </c>
      <c r="F143" s="29">
        <v>9.0</v>
      </c>
      <c r="G143" s="28">
        <v>0.6</v>
      </c>
      <c r="H143" s="29">
        <v>0.0</v>
      </c>
      <c r="I143" s="28">
        <v>0.0</v>
      </c>
      <c r="J143" s="34">
        <f t="shared" si="1"/>
        <v>0</v>
      </c>
      <c r="K143" s="30" t="str">
        <f t="shared" si="2"/>
        <v>02</v>
      </c>
      <c r="L143" s="31" t="str">
        <f t="shared" si="3"/>
        <v>2016-11-08</v>
      </c>
    </row>
    <row r="144" ht="15.75" customHeight="1">
      <c r="A144" s="28" t="s">
        <v>179</v>
      </c>
      <c r="B144" s="29">
        <v>33.0</v>
      </c>
      <c r="C144" s="29">
        <v>16.0</v>
      </c>
      <c r="D144" s="29">
        <v>1.0</v>
      </c>
      <c r="E144" s="29">
        <v>15.0</v>
      </c>
      <c r="F144" s="29">
        <v>10.0</v>
      </c>
      <c r="G144" s="28">
        <v>0.5</v>
      </c>
      <c r="H144" s="28">
        <v>0.13</v>
      </c>
      <c r="I144" s="29">
        <v>2.0</v>
      </c>
      <c r="J144" s="34">
        <f t="shared" si="1"/>
        <v>0.0625</v>
      </c>
      <c r="K144" s="30" t="str">
        <f t="shared" si="2"/>
        <v>01</v>
      </c>
      <c r="L144" s="31" t="str">
        <f t="shared" si="3"/>
        <v>2016-11-08</v>
      </c>
    </row>
    <row r="145" ht="15.75" customHeight="1">
      <c r="A145" s="28" t="s">
        <v>180</v>
      </c>
      <c r="B145" s="29">
        <v>45.0</v>
      </c>
      <c r="C145" s="29">
        <v>17.0</v>
      </c>
      <c r="D145" s="29">
        <v>2.0</v>
      </c>
      <c r="E145" s="29">
        <v>15.0</v>
      </c>
      <c r="F145" s="29">
        <v>13.0</v>
      </c>
      <c r="G145" s="28">
        <v>0.4</v>
      </c>
      <c r="H145" s="28">
        <v>0.35</v>
      </c>
      <c r="I145" s="29">
        <v>6.0</v>
      </c>
      <c r="J145" s="34">
        <f t="shared" si="1"/>
        <v>0.1176470588</v>
      </c>
      <c r="K145" s="30" t="str">
        <f t="shared" si="2"/>
        <v>00</v>
      </c>
      <c r="L145" s="31" t="str">
        <f t="shared" si="3"/>
        <v>2016-11-08</v>
      </c>
    </row>
    <row r="146" ht="15.75" customHeight="1">
      <c r="A146" s="28" t="s">
        <v>181</v>
      </c>
      <c r="B146" s="29">
        <v>57.0</v>
      </c>
      <c r="C146" s="29">
        <v>22.0</v>
      </c>
      <c r="D146" s="29">
        <v>3.0</v>
      </c>
      <c r="E146" s="29">
        <v>19.0</v>
      </c>
      <c r="F146" s="29">
        <v>17.0</v>
      </c>
      <c r="G146" s="28">
        <v>0.4</v>
      </c>
      <c r="H146" s="28">
        <v>0.41</v>
      </c>
      <c r="I146" s="29">
        <v>9.0</v>
      </c>
      <c r="J146" s="34">
        <f t="shared" si="1"/>
        <v>0.1363636364</v>
      </c>
      <c r="K146" s="30" t="str">
        <f t="shared" si="2"/>
        <v>23</v>
      </c>
      <c r="L146" s="31" t="str">
        <f t="shared" si="3"/>
        <v>2016-11-07</v>
      </c>
    </row>
    <row r="147" ht="15.75" customHeight="1">
      <c r="A147" s="28" t="s">
        <v>182</v>
      </c>
      <c r="B147" s="29">
        <v>66.0</v>
      </c>
      <c r="C147" s="29">
        <v>24.0</v>
      </c>
      <c r="D147" s="29">
        <v>3.0</v>
      </c>
      <c r="E147" s="29">
        <v>21.0</v>
      </c>
      <c r="F147" s="29">
        <v>20.0</v>
      </c>
      <c r="G147" s="28">
        <v>0.4</v>
      </c>
      <c r="H147" s="28">
        <v>0.33</v>
      </c>
      <c r="I147" s="29">
        <v>8.0</v>
      </c>
      <c r="J147" s="34">
        <f t="shared" si="1"/>
        <v>0.125</v>
      </c>
      <c r="K147" s="30" t="str">
        <f t="shared" si="2"/>
        <v>22</v>
      </c>
      <c r="L147" s="31" t="str">
        <f t="shared" si="3"/>
        <v>2016-11-07</v>
      </c>
    </row>
    <row r="148" ht="15.75" customHeight="1">
      <c r="A148" s="28" t="s">
        <v>183</v>
      </c>
      <c r="B148" s="29">
        <v>82.0</v>
      </c>
      <c r="C148" s="29">
        <v>33.0</v>
      </c>
      <c r="D148" s="29">
        <v>5.0</v>
      </c>
      <c r="E148" s="29">
        <v>28.0</v>
      </c>
      <c r="F148" s="29">
        <v>20.0</v>
      </c>
      <c r="G148" s="28">
        <v>0.4</v>
      </c>
      <c r="H148" s="28">
        <v>0.42</v>
      </c>
      <c r="I148" s="29">
        <v>14.0</v>
      </c>
      <c r="J148" s="34">
        <f t="shared" si="1"/>
        <v>0.1515151515</v>
      </c>
      <c r="K148" s="30" t="str">
        <f t="shared" si="2"/>
        <v>21</v>
      </c>
      <c r="L148" s="31" t="str">
        <f t="shared" si="3"/>
        <v>2016-11-07</v>
      </c>
    </row>
    <row r="149" ht="15.75" customHeight="1">
      <c r="A149" s="28" t="s">
        <v>184</v>
      </c>
      <c r="B149" s="29">
        <v>87.0</v>
      </c>
      <c r="C149" s="29">
        <v>37.0</v>
      </c>
      <c r="D149" s="29">
        <v>2.0</v>
      </c>
      <c r="E149" s="29">
        <v>35.0</v>
      </c>
      <c r="F149" s="29">
        <v>18.0</v>
      </c>
      <c r="G149" s="28">
        <v>0.4</v>
      </c>
      <c r="H149" s="28">
        <v>0.14</v>
      </c>
      <c r="I149" s="29">
        <v>5.0</v>
      </c>
      <c r="J149" s="34">
        <f t="shared" si="1"/>
        <v>0.05405405405</v>
      </c>
      <c r="K149" s="30" t="str">
        <f t="shared" si="2"/>
        <v>20</v>
      </c>
      <c r="L149" s="31" t="str">
        <f t="shared" si="3"/>
        <v>2016-11-07</v>
      </c>
    </row>
    <row r="150" ht="15.75" customHeight="1">
      <c r="A150" s="28" t="s">
        <v>185</v>
      </c>
      <c r="B150" s="29">
        <v>83.0</v>
      </c>
      <c r="C150" s="29">
        <v>38.0</v>
      </c>
      <c r="D150" s="29">
        <v>10.0</v>
      </c>
      <c r="E150" s="29">
        <v>28.0</v>
      </c>
      <c r="F150" s="29">
        <v>17.0</v>
      </c>
      <c r="G150" s="28">
        <v>0.5</v>
      </c>
      <c r="H150" s="28">
        <v>0.42</v>
      </c>
      <c r="I150" s="29">
        <v>16.0</v>
      </c>
      <c r="J150" s="34">
        <f t="shared" si="1"/>
        <v>0.2631578947</v>
      </c>
      <c r="K150" s="30" t="str">
        <f t="shared" si="2"/>
        <v>19</v>
      </c>
      <c r="L150" s="31" t="str">
        <f t="shared" si="3"/>
        <v>2016-11-07</v>
      </c>
    </row>
    <row r="151" ht="15.75" customHeight="1">
      <c r="A151" s="28" t="s">
        <v>186</v>
      </c>
      <c r="B151" s="29">
        <v>74.0</v>
      </c>
      <c r="C151" s="29">
        <v>29.0</v>
      </c>
      <c r="D151" s="29">
        <v>10.0</v>
      </c>
      <c r="E151" s="29">
        <v>19.0</v>
      </c>
      <c r="F151" s="29">
        <v>19.0</v>
      </c>
      <c r="G151" s="28">
        <v>0.4</v>
      </c>
      <c r="H151" s="28">
        <v>0.52</v>
      </c>
      <c r="I151" s="29">
        <v>15.0</v>
      </c>
      <c r="J151" s="34">
        <f t="shared" si="1"/>
        <v>0.3448275862</v>
      </c>
      <c r="K151" s="30" t="str">
        <f t="shared" si="2"/>
        <v>18</v>
      </c>
      <c r="L151" s="31" t="str">
        <f t="shared" si="3"/>
        <v>2016-11-07</v>
      </c>
    </row>
    <row r="152" ht="15.75" customHeight="1">
      <c r="A152" s="28" t="s">
        <v>187</v>
      </c>
      <c r="B152" s="29">
        <v>77.0</v>
      </c>
      <c r="C152" s="29">
        <v>35.0</v>
      </c>
      <c r="D152" s="29">
        <v>7.0</v>
      </c>
      <c r="E152" s="29">
        <v>28.0</v>
      </c>
      <c r="F152" s="29">
        <v>14.0</v>
      </c>
      <c r="G152" s="28">
        <v>0.5</v>
      </c>
      <c r="H152" s="28">
        <v>0.31</v>
      </c>
      <c r="I152" s="29">
        <v>11.0</v>
      </c>
      <c r="J152" s="34">
        <f t="shared" si="1"/>
        <v>0.2</v>
      </c>
      <c r="K152" s="30" t="str">
        <f t="shared" si="2"/>
        <v>17</v>
      </c>
      <c r="L152" s="31" t="str">
        <f t="shared" si="3"/>
        <v>2016-11-07</v>
      </c>
    </row>
    <row r="153" ht="15.75" customHeight="1">
      <c r="A153" s="28" t="s">
        <v>188</v>
      </c>
      <c r="B153" s="29">
        <v>63.0</v>
      </c>
      <c r="C153" s="29">
        <v>27.0</v>
      </c>
      <c r="D153" s="29">
        <v>5.0</v>
      </c>
      <c r="E153" s="29">
        <v>22.0</v>
      </c>
      <c r="F153" s="29">
        <v>15.0</v>
      </c>
      <c r="G153" s="28">
        <v>0.4</v>
      </c>
      <c r="H153" s="28">
        <v>0.37</v>
      </c>
      <c r="I153" s="29">
        <v>10.0</v>
      </c>
      <c r="J153" s="34">
        <f t="shared" si="1"/>
        <v>0.1851851852</v>
      </c>
      <c r="K153" s="30" t="str">
        <f t="shared" si="2"/>
        <v>16</v>
      </c>
      <c r="L153" s="31" t="str">
        <f t="shared" si="3"/>
        <v>2016-11-07</v>
      </c>
    </row>
    <row r="154" ht="15.75" customHeight="1">
      <c r="A154" s="28" t="s">
        <v>189</v>
      </c>
      <c r="B154" s="29">
        <v>62.0</v>
      </c>
      <c r="C154" s="29">
        <v>24.0</v>
      </c>
      <c r="D154" s="29">
        <v>5.0</v>
      </c>
      <c r="E154" s="29">
        <v>20.0</v>
      </c>
      <c r="F154" s="29">
        <v>16.0</v>
      </c>
      <c r="G154" s="28">
        <v>0.4</v>
      </c>
      <c r="H154" s="28">
        <v>0.46</v>
      </c>
      <c r="I154" s="29">
        <v>11.0</v>
      </c>
      <c r="J154" s="34">
        <f t="shared" si="1"/>
        <v>0.2083333333</v>
      </c>
      <c r="K154" s="30" t="str">
        <f t="shared" si="2"/>
        <v>15</v>
      </c>
      <c r="L154" s="31" t="str">
        <f t="shared" si="3"/>
        <v>2016-11-07</v>
      </c>
    </row>
    <row r="155" ht="15.75" customHeight="1">
      <c r="A155" s="28" t="s">
        <v>190</v>
      </c>
      <c r="B155" s="29">
        <v>56.0</v>
      </c>
      <c r="C155" s="29">
        <v>22.0</v>
      </c>
      <c r="D155" s="29">
        <v>2.0</v>
      </c>
      <c r="E155" s="29">
        <v>21.0</v>
      </c>
      <c r="F155" s="29">
        <v>16.0</v>
      </c>
      <c r="G155" s="28">
        <v>0.4</v>
      </c>
      <c r="H155" s="28">
        <v>0.14</v>
      </c>
      <c r="I155" s="29">
        <v>3.0</v>
      </c>
      <c r="J155" s="34">
        <f t="shared" si="1"/>
        <v>0.09090909091</v>
      </c>
      <c r="K155" s="30" t="str">
        <f t="shared" si="2"/>
        <v>14</v>
      </c>
      <c r="L155" s="31" t="str">
        <f t="shared" si="3"/>
        <v>2016-11-07</v>
      </c>
    </row>
    <row r="156" ht="15.75" customHeight="1">
      <c r="A156" s="28" t="s">
        <v>191</v>
      </c>
      <c r="B156" s="29">
        <v>56.0</v>
      </c>
      <c r="C156" s="29">
        <v>20.0</v>
      </c>
      <c r="D156" s="29">
        <v>2.0</v>
      </c>
      <c r="E156" s="29">
        <v>18.0</v>
      </c>
      <c r="F156" s="29">
        <v>15.0</v>
      </c>
      <c r="G156" s="28">
        <v>0.4</v>
      </c>
      <c r="H156" s="28">
        <v>0.25</v>
      </c>
      <c r="I156" s="29">
        <v>5.0</v>
      </c>
      <c r="J156" s="34">
        <f t="shared" si="1"/>
        <v>0.1</v>
      </c>
      <c r="K156" s="30" t="str">
        <f t="shared" si="2"/>
        <v>13</v>
      </c>
      <c r="L156" s="31" t="str">
        <f t="shared" si="3"/>
        <v>2016-11-07</v>
      </c>
    </row>
    <row r="157" ht="15.75" customHeight="1">
      <c r="A157" s="28" t="s">
        <v>192</v>
      </c>
      <c r="B157" s="29">
        <v>62.0</v>
      </c>
      <c r="C157" s="29">
        <v>23.0</v>
      </c>
      <c r="D157" s="29">
        <v>2.0</v>
      </c>
      <c r="E157" s="29">
        <v>20.0</v>
      </c>
      <c r="F157" s="29">
        <v>17.0</v>
      </c>
      <c r="G157" s="28">
        <v>0.4</v>
      </c>
      <c r="H157" s="28">
        <v>0.26</v>
      </c>
      <c r="I157" s="29">
        <v>6.0</v>
      </c>
      <c r="J157" s="34">
        <f t="shared" si="1"/>
        <v>0.08695652174</v>
      </c>
      <c r="K157" s="30" t="str">
        <f t="shared" si="2"/>
        <v>12</v>
      </c>
      <c r="L157" s="31" t="str">
        <f t="shared" si="3"/>
        <v>2016-11-07</v>
      </c>
    </row>
    <row r="158" ht="15.75" customHeight="1">
      <c r="A158" s="28" t="s">
        <v>193</v>
      </c>
      <c r="B158" s="29">
        <v>53.0</v>
      </c>
      <c r="C158" s="29">
        <v>20.0</v>
      </c>
      <c r="D158" s="29">
        <v>3.0</v>
      </c>
      <c r="E158" s="29">
        <v>18.0</v>
      </c>
      <c r="F158" s="29">
        <v>17.0</v>
      </c>
      <c r="G158" s="28">
        <v>0.4</v>
      </c>
      <c r="H158" s="28">
        <v>0.25</v>
      </c>
      <c r="I158" s="29">
        <v>5.0</v>
      </c>
      <c r="J158" s="34">
        <f t="shared" si="1"/>
        <v>0.15</v>
      </c>
      <c r="K158" s="30" t="str">
        <f t="shared" si="2"/>
        <v>11</v>
      </c>
      <c r="L158" s="31" t="str">
        <f t="shared" si="3"/>
        <v>2016-11-07</v>
      </c>
    </row>
    <row r="159" ht="15.75" customHeight="1">
      <c r="A159" s="28" t="s">
        <v>194</v>
      </c>
      <c r="B159" s="29">
        <v>59.0</v>
      </c>
      <c r="C159" s="29">
        <v>22.0</v>
      </c>
      <c r="D159" s="29">
        <v>6.0</v>
      </c>
      <c r="E159" s="29">
        <v>17.0</v>
      </c>
      <c r="F159" s="29">
        <v>14.0</v>
      </c>
      <c r="G159" s="28">
        <v>0.4</v>
      </c>
      <c r="H159" s="28">
        <v>0.23</v>
      </c>
      <c r="I159" s="29">
        <v>5.0</v>
      </c>
      <c r="J159" s="34">
        <f t="shared" si="1"/>
        <v>0.2727272727</v>
      </c>
      <c r="K159" s="30" t="str">
        <f t="shared" si="2"/>
        <v>10</v>
      </c>
      <c r="L159" s="31" t="str">
        <f t="shared" si="3"/>
        <v>2016-11-07</v>
      </c>
    </row>
    <row r="160" ht="15.75" customHeight="1">
      <c r="A160" s="28" t="s">
        <v>195</v>
      </c>
      <c r="B160" s="29">
        <v>50.0</v>
      </c>
      <c r="C160" s="29">
        <v>18.0</v>
      </c>
      <c r="D160" s="29">
        <v>10.0</v>
      </c>
      <c r="E160" s="29">
        <v>8.0</v>
      </c>
      <c r="F160" s="29">
        <v>13.0</v>
      </c>
      <c r="G160" s="28">
        <v>0.4</v>
      </c>
      <c r="H160" s="28">
        <v>1.17</v>
      </c>
      <c r="I160" s="29">
        <v>21.0</v>
      </c>
      <c r="J160" s="34">
        <f t="shared" si="1"/>
        <v>0.5555555556</v>
      </c>
      <c r="K160" s="30" t="str">
        <f t="shared" si="2"/>
        <v>09</v>
      </c>
      <c r="L160" s="31" t="str">
        <f t="shared" si="3"/>
        <v>2016-11-07</v>
      </c>
    </row>
    <row r="161" ht="15.75" customHeight="1">
      <c r="A161" s="28" t="s">
        <v>196</v>
      </c>
      <c r="B161" s="29">
        <v>38.0</v>
      </c>
      <c r="C161" s="29">
        <v>16.0</v>
      </c>
      <c r="D161" s="29">
        <v>8.0</v>
      </c>
      <c r="E161" s="29">
        <v>8.0</v>
      </c>
      <c r="F161" s="29">
        <v>11.0</v>
      </c>
      <c r="G161" s="28">
        <v>0.4</v>
      </c>
      <c r="H161" s="28">
        <v>0.69</v>
      </c>
      <c r="I161" s="29">
        <v>11.0</v>
      </c>
      <c r="J161" s="34">
        <f t="shared" si="1"/>
        <v>0.5</v>
      </c>
      <c r="K161" s="30" t="str">
        <f t="shared" si="2"/>
        <v>08</v>
      </c>
      <c r="L161" s="31" t="str">
        <f t="shared" si="3"/>
        <v>2016-11-07</v>
      </c>
    </row>
    <row r="162" ht="15.75" customHeight="1">
      <c r="A162" s="28" t="s">
        <v>197</v>
      </c>
      <c r="B162" s="29">
        <v>33.0</v>
      </c>
      <c r="C162" s="29">
        <v>11.0</v>
      </c>
      <c r="D162" s="29">
        <v>3.0</v>
      </c>
      <c r="E162" s="29">
        <v>8.0</v>
      </c>
      <c r="F162" s="29">
        <v>8.0</v>
      </c>
      <c r="G162" s="28">
        <v>0.3</v>
      </c>
      <c r="H162" s="28">
        <v>0.82</v>
      </c>
      <c r="I162" s="29">
        <v>9.0</v>
      </c>
      <c r="J162" s="34">
        <f t="shared" si="1"/>
        <v>0.2727272727</v>
      </c>
      <c r="K162" s="30" t="str">
        <f t="shared" si="2"/>
        <v>07</v>
      </c>
      <c r="L162" s="31" t="str">
        <f t="shared" si="3"/>
        <v>2016-11-07</v>
      </c>
    </row>
    <row r="163" ht="15.75" customHeight="1">
      <c r="A163" s="28" t="s">
        <v>198</v>
      </c>
      <c r="B163" s="29">
        <v>23.0</v>
      </c>
      <c r="C163" s="29">
        <v>9.0</v>
      </c>
      <c r="D163" s="29">
        <v>1.0</v>
      </c>
      <c r="E163" s="29">
        <v>8.0</v>
      </c>
      <c r="F163" s="29">
        <v>4.0</v>
      </c>
      <c r="G163" s="28">
        <v>0.4</v>
      </c>
      <c r="H163" s="28">
        <v>0.22</v>
      </c>
      <c r="I163" s="29">
        <v>2.0</v>
      </c>
      <c r="J163" s="34">
        <f t="shared" si="1"/>
        <v>0.1111111111</v>
      </c>
      <c r="K163" s="30" t="str">
        <f t="shared" si="2"/>
        <v>06</v>
      </c>
      <c r="L163" s="31" t="str">
        <f t="shared" si="3"/>
        <v>2016-11-07</v>
      </c>
    </row>
    <row r="164" ht="15.75" customHeight="1">
      <c r="A164" s="28" t="s">
        <v>199</v>
      </c>
      <c r="B164" s="29">
        <v>16.0</v>
      </c>
      <c r="C164" s="29">
        <v>9.0</v>
      </c>
      <c r="D164" s="29">
        <v>0.0</v>
      </c>
      <c r="E164" s="29">
        <v>9.0</v>
      </c>
      <c r="F164" s="29">
        <v>3.0</v>
      </c>
      <c r="G164" s="28">
        <v>0.6</v>
      </c>
      <c r="H164" s="29">
        <v>0.0</v>
      </c>
      <c r="I164" s="28">
        <v>0.0</v>
      </c>
      <c r="J164" s="34">
        <f t="shared" si="1"/>
        <v>0</v>
      </c>
      <c r="K164" s="30" t="str">
        <f t="shared" si="2"/>
        <v>05</v>
      </c>
      <c r="L164" s="31" t="str">
        <f t="shared" si="3"/>
        <v>2016-11-07</v>
      </c>
    </row>
    <row r="165" ht="15.75" customHeight="1">
      <c r="A165" s="28" t="s">
        <v>200</v>
      </c>
      <c r="B165" s="29">
        <v>19.0</v>
      </c>
      <c r="C165" s="29">
        <v>7.0</v>
      </c>
      <c r="D165" s="29">
        <v>0.0</v>
      </c>
      <c r="E165" s="29">
        <v>6.0</v>
      </c>
      <c r="F165" s="29">
        <v>4.0</v>
      </c>
      <c r="G165" s="28">
        <v>0.4</v>
      </c>
      <c r="H165" s="28">
        <v>0.14</v>
      </c>
      <c r="I165" s="29">
        <v>1.0</v>
      </c>
      <c r="J165" s="34">
        <f t="shared" si="1"/>
        <v>0</v>
      </c>
      <c r="K165" s="30" t="str">
        <f t="shared" si="2"/>
        <v>04</v>
      </c>
      <c r="L165" s="31" t="str">
        <f t="shared" si="3"/>
        <v>2016-11-07</v>
      </c>
    </row>
    <row r="166" ht="15.75" customHeight="1">
      <c r="A166" s="28" t="s">
        <v>201</v>
      </c>
      <c r="B166" s="29">
        <v>16.0</v>
      </c>
      <c r="C166" s="29">
        <v>5.0</v>
      </c>
      <c r="D166" s="29">
        <v>0.0</v>
      </c>
      <c r="E166" s="29">
        <v>5.0</v>
      </c>
      <c r="F166" s="29">
        <v>3.0</v>
      </c>
      <c r="G166" s="28">
        <v>0.3</v>
      </c>
      <c r="H166" s="29">
        <v>0.0</v>
      </c>
      <c r="I166" s="28">
        <v>0.0</v>
      </c>
      <c r="J166" s="34">
        <f t="shared" si="1"/>
        <v>0</v>
      </c>
      <c r="K166" s="30" t="str">
        <f t="shared" si="2"/>
        <v>03</v>
      </c>
      <c r="L166" s="31" t="str">
        <f t="shared" si="3"/>
        <v>2016-11-07</v>
      </c>
    </row>
    <row r="167" ht="15.75" customHeight="1">
      <c r="A167" s="28" t="s">
        <v>202</v>
      </c>
      <c r="B167" s="29">
        <v>18.0</v>
      </c>
      <c r="C167" s="29">
        <v>7.0</v>
      </c>
      <c r="D167" s="29">
        <v>0.0</v>
      </c>
      <c r="E167" s="29">
        <v>7.0</v>
      </c>
      <c r="F167" s="29">
        <v>4.0</v>
      </c>
      <c r="G167" s="28">
        <v>0.4</v>
      </c>
      <c r="H167" s="28">
        <v>0.14</v>
      </c>
      <c r="I167" s="29">
        <v>1.0</v>
      </c>
      <c r="J167" s="34">
        <f t="shared" si="1"/>
        <v>0</v>
      </c>
      <c r="K167" s="30" t="str">
        <f t="shared" si="2"/>
        <v>02</v>
      </c>
      <c r="L167" s="31" t="str">
        <f t="shared" si="3"/>
        <v>2016-11-07</v>
      </c>
    </row>
    <row r="168" ht="15.75" customHeight="1">
      <c r="A168" s="28" t="s">
        <v>203</v>
      </c>
      <c r="B168" s="29">
        <v>29.0</v>
      </c>
      <c r="C168" s="29">
        <v>13.0</v>
      </c>
      <c r="D168" s="29">
        <v>0.0</v>
      </c>
      <c r="E168" s="29">
        <v>13.0</v>
      </c>
      <c r="F168" s="29">
        <v>5.0</v>
      </c>
      <c r="G168" s="28">
        <v>0.4</v>
      </c>
      <c r="H168" s="29">
        <v>0.0</v>
      </c>
      <c r="I168" s="28">
        <v>0.0</v>
      </c>
      <c r="J168" s="34">
        <f t="shared" si="1"/>
        <v>0</v>
      </c>
      <c r="K168" s="30" t="str">
        <f t="shared" si="2"/>
        <v>01</v>
      </c>
      <c r="L168" s="31" t="str">
        <f t="shared" si="3"/>
        <v>2016-11-07</v>
      </c>
    </row>
    <row r="169" ht="15.75" customHeight="1">
      <c r="A169" s="28" t="s">
        <v>204</v>
      </c>
      <c r="B169" s="29">
        <v>42.0</v>
      </c>
      <c r="C169" s="29">
        <v>17.0</v>
      </c>
      <c r="D169" s="29">
        <v>4.0</v>
      </c>
      <c r="E169" s="29">
        <v>14.0</v>
      </c>
      <c r="F169" s="29">
        <v>8.0</v>
      </c>
      <c r="G169" s="28">
        <v>0.4</v>
      </c>
      <c r="H169" s="28">
        <v>0.35</v>
      </c>
      <c r="I169" s="29">
        <v>6.0</v>
      </c>
      <c r="J169" s="34">
        <f t="shared" si="1"/>
        <v>0.2352941176</v>
      </c>
      <c r="K169" s="30" t="str">
        <f t="shared" si="2"/>
        <v>00</v>
      </c>
      <c r="L169" s="31" t="str">
        <f t="shared" si="3"/>
        <v>2016-11-07</v>
      </c>
    </row>
    <row r="170" ht="15.75" customHeight="1">
      <c r="B170" s="32">
        <f>SUM(B2:B169)</f>
        <v>9446</v>
      </c>
      <c r="I170" s="32">
        <f>SUM(I2:I169)</f>
        <v>1925</v>
      </c>
      <c r="J170" s="34"/>
      <c r="K170" s="30" t="str">
        <f t="shared" si="2"/>
        <v/>
      </c>
      <c r="L170" s="31" t="str">
        <f t="shared" si="3"/>
        <v/>
      </c>
    </row>
    <row r="171" ht="15.75" customHeight="1">
      <c r="J171" s="34"/>
    </row>
    <row r="172" ht="15.75" customHeight="1">
      <c r="J172" s="34"/>
    </row>
    <row r="173" ht="15.75" customHeight="1">
      <c r="J173" s="34"/>
    </row>
    <row r="174" ht="15.75" customHeight="1">
      <c r="J174" s="34"/>
    </row>
    <row r="175" ht="15.75" customHeight="1">
      <c r="J175" s="34"/>
    </row>
    <row r="176" ht="15.75" customHeight="1">
      <c r="J176" s="34"/>
    </row>
    <row r="177" ht="15.75" customHeight="1">
      <c r="J177" s="34"/>
    </row>
    <row r="178" ht="15.75" customHeight="1">
      <c r="J178" s="34"/>
    </row>
    <row r="179" ht="15.75" customHeight="1">
      <c r="J179" s="34"/>
    </row>
    <row r="180" ht="15.75" customHeight="1">
      <c r="J180" s="34"/>
    </row>
    <row r="181" ht="15.75" customHeight="1">
      <c r="J181" s="34"/>
    </row>
    <row r="182" ht="15.75" customHeight="1">
      <c r="J182" s="34"/>
    </row>
    <row r="183" ht="15.75" customHeight="1">
      <c r="J183" s="34"/>
    </row>
    <row r="184" ht="15.75" customHeight="1">
      <c r="J184" s="34"/>
    </row>
    <row r="185" ht="15.75" customHeight="1">
      <c r="J185" s="34"/>
    </row>
    <row r="186" ht="15.75" customHeight="1">
      <c r="J186" s="34"/>
    </row>
    <row r="187" ht="15.75" customHeight="1">
      <c r="J187" s="34"/>
    </row>
    <row r="188" ht="15.75" customHeight="1">
      <c r="J188" s="34"/>
    </row>
    <row r="189" ht="15.75" customHeight="1">
      <c r="J189" s="34"/>
    </row>
    <row r="190" ht="15.75" customHeight="1">
      <c r="J190" s="34"/>
    </row>
    <row r="191" ht="15.75" customHeight="1">
      <c r="J191" s="34"/>
    </row>
    <row r="192" ht="15.75" customHeight="1">
      <c r="J192" s="34"/>
    </row>
    <row r="193" ht="15.75" customHeight="1">
      <c r="J193" s="34"/>
    </row>
    <row r="194" ht="15.75" customHeight="1">
      <c r="J194" s="34"/>
    </row>
    <row r="195" ht="15.75" customHeight="1">
      <c r="J195" s="34"/>
    </row>
    <row r="196" ht="15.75" customHeight="1">
      <c r="J196" s="34"/>
    </row>
    <row r="197" ht="15.75" customHeight="1">
      <c r="J197" s="34"/>
    </row>
    <row r="198" ht="15.75" customHeight="1">
      <c r="J198" s="34"/>
    </row>
    <row r="199" ht="15.75" customHeight="1">
      <c r="J199" s="34"/>
    </row>
    <row r="200" ht="15.75" customHeight="1">
      <c r="J200" s="34"/>
    </row>
    <row r="201" ht="15.75" customHeight="1">
      <c r="J201" s="34"/>
    </row>
    <row r="202" ht="15.75" customHeight="1">
      <c r="J202" s="34"/>
    </row>
    <row r="203" ht="15.75" customHeight="1">
      <c r="J203" s="34"/>
    </row>
    <row r="204" ht="15.75" customHeight="1">
      <c r="J204" s="34"/>
    </row>
    <row r="205" ht="15.75" customHeight="1">
      <c r="J205" s="34"/>
    </row>
    <row r="206" ht="15.75" customHeight="1">
      <c r="J206" s="34"/>
    </row>
    <row r="207" ht="15.75" customHeight="1">
      <c r="J207" s="34"/>
    </row>
    <row r="208" ht="15.75" customHeight="1">
      <c r="J208" s="34"/>
    </row>
    <row r="209" ht="15.75" customHeight="1">
      <c r="J209" s="34"/>
    </row>
    <row r="210" ht="15.75" customHeight="1">
      <c r="J210" s="34"/>
    </row>
    <row r="211" ht="15.75" customHeight="1">
      <c r="J211" s="34"/>
    </row>
    <row r="212" ht="15.75" customHeight="1">
      <c r="J212" s="34"/>
    </row>
    <row r="213" ht="15.75" customHeight="1">
      <c r="J213" s="34"/>
    </row>
    <row r="214" ht="15.75" customHeight="1">
      <c r="J214" s="34"/>
    </row>
    <row r="215" ht="15.75" customHeight="1">
      <c r="J215" s="34"/>
    </row>
    <row r="216" ht="15.75" customHeight="1">
      <c r="J216" s="34"/>
    </row>
    <row r="217" ht="15.75" customHeight="1">
      <c r="J217" s="34"/>
    </row>
    <row r="218" ht="15.75" customHeight="1">
      <c r="J218" s="34"/>
    </row>
    <row r="219" ht="15.75" customHeight="1">
      <c r="J219" s="34"/>
    </row>
    <row r="220" ht="15.75" customHeight="1">
      <c r="J220" s="34"/>
    </row>
    <row r="221" ht="15.75" customHeight="1">
      <c r="J221" s="34"/>
    </row>
    <row r="222" ht="15.75" customHeight="1">
      <c r="J222" s="34"/>
    </row>
    <row r="223" ht="15.75" customHeight="1">
      <c r="J223" s="34"/>
    </row>
    <row r="224" ht="15.75" customHeight="1">
      <c r="J224" s="34"/>
    </row>
    <row r="225" ht="15.75" customHeight="1">
      <c r="J225" s="34"/>
    </row>
    <row r="226" ht="15.75" customHeight="1">
      <c r="J226" s="34"/>
    </row>
    <row r="227" ht="15.75" customHeight="1">
      <c r="J227" s="34"/>
    </row>
    <row r="228" ht="15.75" customHeight="1">
      <c r="J228" s="34"/>
    </row>
    <row r="229" ht="15.75" customHeight="1">
      <c r="J229" s="34"/>
    </row>
    <row r="230" ht="15.75" customHeight="1">
      <c r="J230" s="34"/>
    </row>
    <row r="231" ht="15.75" customHeight="1">
      <c r="J231" s="34"/>
    </row>
    <row r="232" ht="15.75" customHeight="1">
      <c r="J232" s="34"/>
    </row>
    <row r="233" ht="15.75" customHeight="1">
      <c r="J233" s="34"/>
    </row>
    <row r="234" ht="15.75" customHeight="1">
      <c r="J234" s="34"/>
    </row>
    <row r="235" ht="15.75" customHeight="1">
      <c r="J235" s="34"/>
    </row>
    <row r="236" ht="15.75" customHeight="1">
      <c r="J236" s="34"/>
    </row>
    <row r="237" ht="15.75" customHeight="1">
      <c r="J237" s="34"/>
    </row>
    <row r="238" ht="15.75" customHeight="1">
      <c r="J238" s="34"/>
    </row>
    <row r="239" ht="15.75" customHeight="1">
      <c r="J239" s="34"/>
    </row>
    <row r="240" ht="15.75" customHeight="1">
      <c r="J240" s="34"/>
    </row>
    <row r="241" ht="15.75" customHeight="1">
      <c r="J241" s="34"/>
    </row>
    <row r="242" ht="15.75" customHeight="1">
      <c r="J242" s="34"/>
    </row>
    <row r="243" ht="15.75" customHeight="1">
      <c r="J243" s="34"/>
    </row>
    <row r="244" ht="15.75" customHeight="1">
      <c r="J244" s="34"/>
    </row>
    <row r="245" ht="15.75" customHeight="1">
      <c r="J245" s="34"/>
    </row>
    <row r="246" ht="15.75" customHeight="1">
      <c r="J246" s="34"/>
    </row>
    <row r="247" ht="15.75" customHeight="1">
      <c r="J247" s="34"/>
    </row>
    <row r="248" ht="15.75" customHeight="1">
      <c r="J248" s="34"/>
    </row>
    <row r="249" ht="15.75" customHeight="1">
      <c r="J249" s="34"/>
    </row>
    <row r="250" ht="15.75" customHeight="1">
      <c r="J250" s="34"/>
    </row>
    <row r="251" ht="15.75" customHeight="1">
      <c r="J251" s="34"/>
    </row>
    <row r="252" ht="15.75" customHeight="1">
      <c r="J252" s="34"/>
    </row>
    <row r="253" ht="15.75" customHeight="1">
      <c r="J253" s="34"/>
    </row>
    <row r="254" ht="15.75" customHeight="1">
      <c r="J254" s="34"/>
    </row>
    <row r="255" ht="15.75" customHeight="1">
      <c r="J255" s="34"/>
    </row>
    <row r="256" ht="15.75" customHeight="1">
      <c r="J256" s="34"/>
    </row>
    <row r="257" ht="15.75" customHeight="1">
      <c r="J257" s="34"/>
    </row>
    <row r="258" ht="15.75" customHeight="1">
      <c r="J258" s="34"/>
    </row>
    <row r="259" ht="15.75" customHeight="1">
      <c r="J259" s="34"/>
    </row>
    <row r="260" ht="15.75" customHeight="1">
      <c r="J260" s="34"/>
    </row>
    <row r="261" ht="15.75" customHeight="1">
      <c r="J261" s="34"/>
    </row>
    <row r="262" ht="15.75" customHeight="1">
      <c r="J262" s="34"/>
    </row>
    <row r="263" ht="15.75" customHeight="1">
      <c r="J263" s="34"/>
    </row>
    <row r="264" ht="15.75" customHeight="1">
      <c r="J264" s="34"/>
    </row>
    <row r="265" ht="15.75" customHeight="1">
      <c r="J265" s="34"/>
    </row>
    <row r="266" ht="15.75" customHeight="1">
      <c r="J266" s="34"/>
    </row>
    <row r="267" ht="15.75" customHeight="1">
      <c r="J267" s="34"/>
    </row>
    <row r="268" ht="15.75" customHeight="1">
      <c r="J268" s="34"/>
    </row>
    <row r="269" ht="15.75" customHeight="1">
      <c r="J269" s="34"/>
    </row>
    <row r="270" ht="15.75" customHeight="1">
      <c r="J270" s="34"/>
    </row>
    <row r="271" ht="15.75" customHeight="1">
      <c r="J271" s="34"/>
    </row>
    <row r="272" ht="15.75" customHeight="1">
      <c r="J272" s="34"/>
    </row>
    <row r="273" ht="15.75" customHeight="1">
      <c r="J273" s="34"/>
    </row>
    <row r="274" ht="15.75" customHeight="1">
      <c r="J274" s="34"/>
    </row>
    <row r="275" ht="15.75" customHeight="1">
      <c r="J275" s="34"/>
    </row>
    <row r="276" ht="15.75" customHeight="1">
      <c r="J276" s="34"/>
    </row>
    <row r="277" ht="15.75" customHeight="1">
      <c r="J277" s="34"/>
    </row>
    <row r="278" ht="15.75" customHeight="1">
      <c r="J278" s="34"/>
    </row>
    <row r="279" ht="15.75" customHeight="1">
      <c r="J279" s="34"/>
    </row>
    <row r="280" ht="15.75" customHeight="1">
      <c r="J280" s="34"/>
    </row>
    <row r="281" ht="15.75" customHeight="1">
      <c r="J281" s="34"/>
    </row>
    <row r="282" ht="15.75" customHeight="1">
      <c r="J282" s="34"/>
    </row>
    <row r="283" ht="15.75" customHeight="1">
      <c r="J283" s="34"/>
    </row>
    <row r="284" ht="15.75" customHeight="1">
      <c r="J284" s="34"/>
    </row>
    <row r="285" ht="15.75" customHeight="1">
      <c r="J285" s="34"/>
    </row>
    <row r="286" ht="15.75" customHeight="1">
      <c r="J286" s="34"/>
    </row>
    <row r="287" ht="15.75" customHeight="1">
      <c r="J287" s="34"/>
    </row>
    <row r="288" ht="15.75" customHeight="1">
      <c r="J288" s="34"/>
    </row>
    <row r="289" ht="15.75" customHeight="1">
      <c r="J289" s="34"/>
    </row>
    <row r="290" ht="15.75" customHeight="1">
      <c r="J290" s="34"/>
    </row>
    <row r="291" ht="15.75" customHeight="1">
      <c r="J291" s="34"/>
    </row>
    <row r="292" ht="15.75" customHeight="1">
      <c r="J292" s="34"/>
    </row>
    <row r="293" ht="15.75" customHeight="1">
      <c r="J293" s="34"/>
    </row>
    <row r="294" ht="15.75" customHeight="1">
      <c r="J294" s="34"/>
    </row>
    <row r="295" ht="15.75" customHeight="1">
      <c r="J295" s="34"/>
    </row>
    <row r="296" ht="15.75" customHeight="1">
      <c r="J296" s="34"/>
    </row>
    <row r="297" ht="15.75" customHeight="1">
      <c r="J297" s="34"/>
    </row>
    <row r="298" ht="15.75" customHeight="1">
      <c r="J298" s="34"/>
    </row>
    <row r="299" ht="15.75" customHeight="1">
      <c r="J299" s="34"/>
    </row>
    <row r="300" ht="15.75" customHeight="1">
      <c r="J300" s="34"/>
    </row>
    <row r="301" ht="15.75" customHeight="1">
      <c r="J301" s="34"/>
    </row>
    <row r="302" ht="15.75" customHeight="1">
      <c r="J302" s="34"/>
    </row>
    <row r="303" ht="15.75" customHeight="1">
      <c r="J303" s="34"/>
    </row>
    <row r="304" ht="15.75" customHeight="1">
      <c r="J304" s="34"/>
    </row>
    <row r="305" ht="15.75" customHeight="1">
      <c r="J305" s="34"/>
    </row>
    <row r="306" ht="15.75" customHeight="1">
      <c r="J306" s="34"/>
    </row>
    <row r="307" ht="15.75" customHeight="1">
      <c r="J307" s="34"/>
    </row>
    <row r="308" ht="15.75" customHeight="1">
      <c r="J308" s="34"/>
    </row>
    <row r="309" ht="15.75" customHeight="1">
      <c r="J309" s="34"/>
    </row>
    <row r="310" ht="15.75" customHeight="1">
      <c r="J310" s="34"/>
    </row>
    <row r="311" ht="15.75" customHeight="1">
      <c r="J311" s="34"/>
    </row>
    <row r="312" ht="15.75" customHeight="1">
      <c r="J312" s="34"/>
    </row>
    <row r="313" ht="15.75" customHeight="1">
      <c r="J313" s="34"/>
    </row>
    <row r="314" ht="15.75" customHeight="1">
      <c r="J314" s="34"/>
    </row>
    <row r="315" ht="15.75" customHeight="1">
      <c r="J315" s="34"/>
    </row>
    <row r="316" ht="15.75" customHeight="1">
      <c r="J316" s="34"/>
    </row>
    <row r="317" ht="15.75" customHeight="1">
      <c r="J317" s="34"/>
    </row>
    <row r="318" ht="15.75" customHeight="1">
      <c r="J318" s="34"/>
    </row>
    <row r="319" ht="15.75" customHeight="1">
      <c r="J319" s="34"/>
    </row>
    <row r="320" ht="15.75" customHeight="1">
      <c r="J320" s="34"/>
    </row>
    <row r="321" ht="15.75" customHeight="1">
      <c r="J321" s="34"/>
    </row>
    <row r="322" ht="15.75" customHeight="1">
      <c r="J322" s="34"/>
    </row>
    <row r="323" ht="15.75" customHeight="1">
      <c r="J323" s="34"/>
    </row>
    <row r="324" ht="15.75" customHeight="1">
      <c r="J324" s="34"/>
    </row>
    <row r="325" ht="15.75" customHeight="1">
      <c r="J325" s="34"/>
    </row>
    <row r="326" ht="15.75" customHeight="1">
      <c r="J326" s="34"/>
    </row>
    <row r="327" ht="15.75" customHeight="1">
      <c r="J327" s="34"/>
    </row>
    <row r="328" ht="15.75" customHeight="1">
      <c r="J328" s="34"/>
    </row>
    <row r="329" ht="15.75" customHeight="1">
      <c r="J329" s="34"/>
    </row>
    <row r="330" ht="15.75" customHeight="1">
      <c r="J330" s="34"/>
    </row>
    <row r="331" ht="15.75" customHeight="1">
      <c r="J331" s="34"/>
    </row>
    <row r="332" ht="15.75" customHeight="1">
      <c r="J332" s="34"/>
    </row>
    <row r="333" ht="15.75" customHeight="1">
      <c r="J333" s="34"/>
    </row>
    <row r="334" ht="15.75" customHeight="1">
      <c r="J334" s="34"/>
    </row>
    <row r="335" ht="15.75" customHeight="1">
      <c r="J335" s="34"/>
    </row>
    <row r="336" ht="15.75" customHeight="1">
      <c r="J336" s="34"/>
    </row>
    <row r="337" ht="15.75" customHeight="1">
      <c r="J337" s="34"/>
    </row>
    <row r="338" ht="15.75" customHeight="1">
      <c r="J338" s="34"/>
    </row>
    <row r="339" ht="15.75" customHeight="1">
      <c r="J339" s="34"/>
    </row>
    <row r="340" ht="15.75" customHeight="1">
      <c r="J340" s="34"/>
    </row>
    <row r="341" ht="15.75" customHeight="1">
      <c r="J341" s="34"/>
    </row>
    <row r="342" ht="15.75" customHeight="1">
      <c r="J342" s="34"/>
    </row>
    <row r="343" ht="15.75" customHeight="1">
      <c r="J343" s="34"/>
    </row>
    <row r="344" ht="15.75" customHeight="1">
      <c r="J344" s="34"/>
    </row>
    <row r="345" ht="15.75" customHeight="1">
      <c r="J345" s="34"/>
    </row>
    <row r="346" ht="15.75" customHeight="1">
      <c r="J346" s="34"/>
    </row>
    <row r="347" ht="15.75" customHeight="1">
      <c r="J347" s="34"/>
    </row>
    <row r="348" ht="15.75" customHeight="1">
      <c r="J348" s="34"/>
    </row>
    <row r="349" ht="15.75" customHeight="1">
      <c r="J349" s="34"/>
    </row>
    <row r="350" ht="15.75" customHeight="1">
      <c r="J350" s="34"/>
    </row>
    <row r="351" ht="15.75" customHeight="1">
      <c r="J351" s="34"/>
    </row>
    <row r="352" ht="15.75" customHeight="1">
      <c r="J352" s="34"/>
    </row>
    <row r="353" ht="15.75" customHeight="1">
      <c r="J353" s="34"/>
    </row>
    <row r="354" ht="15.75" customHeight="1">
      <c r="J354" s="34"/>
    </row>
    <row r="355" ht="15.75" customHeight="1">
      <c r="J355" s="34"/>
    </row>
    <row r="356" ht="15.75" customHeight="1">
      <c r="J356" s="34"/>
    </row>
    <row r="357" ht="15.75" customHeight="1">
      <c r="J357" s="34"/>
    </row>
    <row r="358" ht="15.75" customHeight="1">
      <c r="J358" s="34"/>
    </row>
    <row r="359" ht="15.75" customHeight="1">
      <c r="J359" s="34"/>
    </row>
    <row r="360" ht="15.75" customHeight="1">
      <c r="J360" s="34"/>
    </row>
    <row r="361" ht="15.75" customHeight="1">
      <c r="J361" s="34"/>
    </row>
    <row r="362" ht="15.75" customHeight="1">
      <c r="J362" s="34"/>
    </row>
    <row r="363" ht="15.75" customHeight="1">
      <c r="J363" s="34"/>
    </row>
    <row r="364" ht="15.75" customHeight="1">
      <c r="J364" s="34"/>
    </row>
    <row r="365" ht="15.75" customHeight="1">
      <c r="J365" s="34"/>
    </row>
    <row r="366" ht="15.75" customHeight="1">
      <c r="J366" s="34"/>
    </row>
    <row r="367" ht="15.75" customHeight="1">
      <c r="J367" s="34"/>
    </row>
    <row r="368" ht="15.75" customHeight="1">
      <c r="J368" s="34"/>
    </row>
    <row r="369" ht="15.75" customHeight="1">
      <c r="J369" s="34"/>
    </row>
    <row r="370" ht="15.75" customHeight="1">
      <c r="J370" s="34"/>
    </row>
    <row r="371" ht="15.75" customHeight="1">
      <c r="J371" s="34"/>
    </row>
    <row r="372" ht="15.75" customHeight="1">
      <c r="J372" s="34"/>
    </row>
    <row r="373" ht="15.75" customHeight="1">
      <c r="J373" s="34"/>
    </row>
    <row r="374" ht="15.75" customHeight="1">
      <c r="J374" s="34"/>
    </row>
    <row r="375" ht="15.75" customHeight="1">
      <c r="J375" s="34"/>
    </row>
    <row r="376" ht="15.75" customHeight="1">
      <c r="J376" s="34"/>
    </row>
    <row r="377" ht="15.75" customHeight="1">
      <c r="J377" s="34"/>
    </row>
    <row r="378" ht="15.75" customHeight="1">
      <c r="J378" s="34"/>
    </row>
    <row r="379" ht="15.75" customHeight="1">
      <c r="J379" s="34"/>
    </row>
    <row r="380" ht="15.75" customHeight="1">
      <c r="J380" s="34"/>
    </row>
    <row r="381" ht="15.75" customHeight="1">
      <c r="J381" s="34"/>
    </row>
    <row r="382" ht="15.75" customHeight="1">
      <c r="J382" s="34"/>
    </row>
    <row r="383" ht="15.75" customHeight="1">
      <c r="J383" s="34"/>
    </row>
    <row r="384" ht="15.75" customHeight="1">
      <c r="J384" s="34"/>
    </row>
    <row r="385" ht="15.75" customHeight="1">
      <c r="J385" s="34"/>
    </row>
    <row r="386" ht="15.75" customHeight="1">
      <c r="J386" s="34"/>
    </row>
    <row r="387" ht="15.75" customHeight="1">
      <c r="J387" s="34"/>
    </row>
    <row r="388" ht="15.75" customHeight="1">
      <c r="J388" s="34"/>
    </row>
    <row r="389" ht="15.75" customHeight="1">
      <c r="J389" s="34"/>
    </row>
    <row r="390" ht="15.75" customHeight="1">
      <c r="J390" s="34"/>
    </row>
    <row r="391" ht="15.75" customHeight="1">
      <c r="J391" s="34"/>
    </row>
    <row r="392" ht="15.75" customHeight="1">
      <c r="J392" s="34"/>
    </row>
    <row r="393" ht="15.75" customHeight="1">
      <c r="J393" s="34"/>
    </row>
    <row r="394" ht="15.75" customHeight="1">
      <c r="J394" s="34"/>
    </row>
    <row r="395" ht="15.75" customHeight="1">
      <c r="J395" s="34"/>
    </row>
    <row r="396" ht="15.75" customHeight="1">
      <c r="J396" s="34"/>
    </row>
    <row r="397" ht="15.75" customHeight="1">
      <c r="J397" s="34"/>
    </row>
    <row r="398" ht="15.75" customHeight="1">
      <c r="J398" s="34"/>
    </row>
    <row r="399" ht="15.75" customHeight="1">
      <c r="J399" s="34"/>
    </row>
    <row r="400" ht="15.75" customHeight="1">
      <c r="J400" s="34"/>
    </row>
    <row r="401" ht="15.75" customHeight="1">
      <c r="J401" s="34"/>
    </row>
    <row r="402" ht="15.75" customHeight="1">
      <c r="J402" s="34"/>
    </row>
    <row r="403" ht="15.75" customHeight="1">
      <c r="J403" s="34"/>
    </row>
    <row r="404" ht="15.75" customHeight="1">
      <c r="J404" s="34"/>
    </row>
    <row r="405" ht="15.75" customHeight="1">
      <c r="J405" s="34"/>
    </row>
    <row r="406" ht="15.75" customHeight="1">
      <c r="J406" s="34"/>
    </row>
    <row r="407" ht="15.75" customHeight="1">
      <c r="J407" s="34"/>
    </row>
    <row r="408" ht="15.75" customHeight="1">
      <c r="J408" s="34"/>
    </row>
    <row r="409" ht="15.75" customHeight="1">
      <c r="J409" s="34"/>
    </row>
    <row r="410" ht="15.75" customHeight="1">
      <c r="J410" s="34"/>
    </row>
    <row r="411" ht="15.75" customHeight="1">
      <c r="J411" s="34"/>
    </row>
    <row r="412" ht="15.75" customHeight="1">
      <c r="J412" s="34"/>
    </row>
    <row r="413" ht="15.75" customHeight="1">
      <c r="J413" s="34"/>
    </row>
    <row r="414" ht="15.75" customHeight="1">
      <c r="J414" s="34"/>
    </row>
    <row r="415" ht="15.75" customHeight="1">
      <c r="J415" s="34"/>
    </row>
    <row r="416" ht="15.75" customHeight="1">
      <c r="J416" s="34"/>
    </row>
    <row r="417" ht="15.75" customHeight="1">
      <c r="J417" s="34"/>
    </row>
    <row r="418" ht="15.75" customHeight="1">
      <c r="J418" s="34"/>
    </row>
    <row r="419" ht="15.75" customHeight="1">
      <c r="J419" s="34"/>
    </row>
    <row r="420" ht="15.75" customHeight="1">
      <c r="J420" s="34"/>
    </row>
    <row r="421" ht="15.75" customHeight="1">
      <c r="J421" s="34"/>
    </row>
    <row r="422" ht="15.75" customHeight="1">
      <c r="J422" s="34"/>
    </row>
    <row r="423" ht="15.75" customHeight="1">
      <c r="J423" s="34"/>
    </row>
    <row r="424" ht="15.75" customHeight="1">
      <c r="J424" s="34"/>
    </row>
    <row r="425" ht="15.75" customHeight="1">
      <c r="J425" s="34"/>
    </row>
    <row r="426" ht="15.75" customHeight="1">
      <c r="J426" s="34"/>
    </row>
    <row r="427" ht="15.75" customHeight="1">
      <c r="J427" s="34"/>
    </row>
    <row r="428" ht="15.75" customHeight="1">
      <c r="J428" s="34"/>
    </row>
    <row r="429" ht="15.75" customHeight="1">
      <c r="J429" s="34"/>
    </row>
    <row r="430" ht="15.75" customHeight="1">
      <c r="J430" s="34"/>
    </row>
    <row r="431" ht="15.75" customHeight="1">
      <c r="J431" s="34"/>
    </row>
    <row r="432" ht="15.75" customHeight="1">
      <c r="J432" s="34"/>
    </row>
    <row r="433" ht="15.75" customHeight="1">
      <c r="J433" s="34"/>
    </row>
    <row r="434" ht="15.75" customHeight="1">
      <c r="J434" s="34"/>
    </row>
    <row r="435" ht="15.75" customHeight="1">
      <c r="J435" s="34"/>
    </row>
    <row r="436" ht="15.75" customHeight="1">
      <c r="J436" s="34"/>
    </row>
    <row r="437" ht="15.75" customHeight="1">
      <c r="J437" s="34"/>
    </row>
    <row r="438" ht="15.75" customHeight="1">
      <c r="J438" s="34"/>
    </row>
    <row r="439" ht="15.75" customHeight="1">
      <c r="J439" s="34"/>
    </row>
    <row r="440" ht="15.75" customHeight="1">
      <c r="J440" s="34"/>
    </row>
    <row r="441" ht="15.75" customHeight="1">
      <c r="J441" s="34"/>
    </row>
    <row r="442" ht="15.75" customHeight="1">
      <c r="J442" s="34"/>
    </row>
    <row r="443" ht="15.75" customHeight="1">
      <c r="J443" s="34"/>
    </row>
    <row r="444" ht="15.75" customHeight="1">
      <c r="J444" s="34"/>
    </row>
    <row r="445" ht="15.75" customHeight="1">
      <c r="J445" s="34"/>
    </row>
    <row r="446" ht="15.75" customHeight="1">
      <c r="J446" s="34"/>
    </row>
    <row r="447" ht="15.75" customHeight="1">
      <c r="J447" s="34"/>
    </row>
    <row r="448" ht="15.75" customHeight="1">
      <c r="J448" s="34"/>
    </row>
    <row r="449" ht="15.75" customHeight="1">
      <c r="J449" s="34"/>
    </row>
    <row r="450" ht="15.75" customHeight="1">
      <c r="J450" s="34"/>
    </row>
    <row r="451" ht="15.75" customHeight="1">
      <c r="J451" s="34"/>
    </row>
    <row r="452" ht="15.75" customHeight="1">
      <c r="J452" s="34"/>
    </row>
    <row r="453" ht="15.75" customHeight="1">
      <c r="J453" s="34"/>
    </row>
    <row r="454" ht="15.75" customHeight="1">
      <c r="J454" s="34"/>
    </row>
    <row r="455" ht="15.75" customHeight="1">
      <c r="J455" s="34"/>
    </row>
    <row r="456" ht="15.75" customHeight="1">
      <c r="J456" s="34"/>
    </row>
    <row r="457" ht="15.75" customHeight="1">
      <c r="J457" s="34"/>
    </row>
    <row r="458" ht="15.75" customHeight="1">
      <c r="J458" s="34"/>
    </row>
    <row r="459" ht="15.75" customHeight="1">
      <c r="J459" s="34"/>
    </row>
    <row r="460" ht="15.75" customHeight="1">
      <c r="J460" s="34"/>
    </row>
    <row r="461" ht="15.75" customHeight="1">
      <c r="J461" s="34"/>
    </row>
    <row r="462" ht="15.75" customHeight="1">
      <c r="J462" s="34"/>
    </row>
    <row r="463" ht="15.75" customHeight="1">
      <c r="J463" s="34"/>
    </row>
    <row r="464" ht="15.75" customHeight="1">
      <c r="J464" s="34"/>
    </row>
    <row r="465" ht="15.75" customHeight="1">
      <c r="J465" s="34"/>
    </row>
    <row r="466" ht="15.75" customHeight="1">
      <c r="J466" s="34"/>
    </row>
    <row r="467" ht="15.75" customHeight="1">
      <c r="J467" s="34"/>
    </row>
    <row r="468" ht="15.75" customHeight="1">
      <c r="J468" s="34"/>
    </row>
    <row r="469" ht="15.75" customHeight="1">
      <c r="J469" s="34"/>
    </row>
    <row r="470" ht="15.75" customHeight="1">
      <c r="J470" s="34"/>
    </row>
    <row r="471" ht="15.75" customHeight="1">
      <c r="J471" s="34"/>
    </row>
    <row r="472" ht="15.75" customHeight="1">
      <c r="J472" s="34"/>
    </row>
    <row r="473" ht="15.75" customHeight="1">
      <c r="J473" s="34"/>
    </row>
    <row r="474" ht="15.75" customHeight="1">
      <c r="J474" s="34"/>
    </row>
    <row r="475" ht="15.75" customHeight="1">
      <c r="J475" s="34"/>
    </row>
    <row r="476" ht="15.75" customHeight="1">
      <c r="J476" s="34"/>
    </row>
    <row r="477" ht="15.75" customHeight="1">
      <c r="J477" s="34"/>
    </row>
    <row r="478" ht="15.75" customHeight="1">
      <c r="J478" s="34"/>
    </row>
    <row r="479" ht="15.75" customHeight="1">
      <c r="J479" s="34"/>
    </row>
    <row r="480" ht="15.75" customHeight="1">
      <c r="J480" s="34"/>
    </row>
    <row r="481" ht="15.75" customHeight="1">
      <c r="J481" s="34"/>
    </row>
    <row r="482" ht="15.75" customHeight="1">
      <c r="J482" s="34"/>
    </row>
    <row r="483" ht="15.75" customHeight="1">
      <c r="J483" s="34"/>
    </row>
    <row r="484" ht="15.75" customHeight="1">
      <c r="J484" s="34"/>
    </row>
    <row r="485" ht="15.75" customHeight="1">
      <c r="J485" s="34"/>
    </row>
    <row r="486" ht="15.75" customHeight="1">
      <c r="J486" s="34"/>
    </row>
    <row r="487" ht="15.75" customHeight="1">
      <c r="J487" s="34"/>
    </row>
    <row r="488" ht="15.75" customHeight="1">
      <c r="J488" s="34"/>
    </row>
    <row r="489" ht="15.75" customHeight="1">
      <c r="J489" s="34"/>
    </row>
    <row r="490" ht="15.75" customHeight="1">
      <c r="J490" s="34"/>
    </row>
    <row r="491" ht="15.75" customHeight="1">
      <c r="J491" s="34"/>
    </row>
    <row r="492" ht="15.75" customHeight="1">
      <c r="J492" s="34"/>
    </row>
    <row r="493" ht="15.75" customHeight="1">
      <c r="J493" s="34"/>
    </row>
    <row r="494" ht="15.75" customHeight="1">
      <c r="J494" s="34"/>
    </row>
    <row r="495" ht="15.75" customHeight="1">
      <c r="J495" s="34"/>
    </row>
    <row r="496" ht="15.75" customHeight="1">
      <c r="J496" s="34"/>
    </row>
    <row r="497" ht="15.75" customHeight="1">
      <c r="J497" s="34"/>
    </row>
    <row r="498" ht="15.75" customHeight="1">
      <c r="J498" s="34"/>
    </row>
    <row r="499" ht="15.75" customHeight="1">
      <c r="J499" s="34"/>
    </row>
    <row r="500" ht="15.75" customHeight="1">
      <c r="J500" s="34"/>
    </row>
    <row r="501" ht="15.75" customHeight="1">
      <c r="J501" s="34"/>
    </row>
    <row r="502" ht="15.75" customHeight="1">
      <c r="J502" s="34"/>
    </row>
    <row r="503" ht="15.75" customHeight="1">
      <c r="J503" s="34"/>
    </row>
    <row r="504" ht="15.75" customHeight="1">
      <c r="J504" s="34"/>
    </row>
    <row r="505" ht="15.75" customHeight="1">
      <c r="J505" s="34"/>
    </row>
    <row r="506" ht="15.75" customHeight="1">
      <c r="J506" s="34"/>
    </row>
    <row r="507" ht="15.75" customHeight="1">
      <c r="J507" s="34"/>
    </row>
    <row r="508" ht="15.75" customHeight="1">
      <c r="J508" s="34"/>
    </row>
    <row r="509" ht="15.75" customHeight="1">
      <c r="J509" s="34"/>
    </row>
    <row r="510" ht="15.75" customHeight="1">
      <c r="J510" s="34"/>
    </row>
    <row r="511" ht="15.75" customHeight="1">
      <c r="J511" s="34"/>
    </row>
    <row r="512" ht="15.75" customHeight="1">
      <c r="J512" s="34"/>
    </row>
    <row r="513" ht="15.75" customHeight="1">
      <c r="J513" s="34"/>
    </row>
    <row r="514" ht="15.75" customHeight="1">
      <c r="J514" s="34"/>
    </row>
    <row r="515" ht="15.75" customHeight="1">
      <c r="J515" s="34"/>
    </row>
    <row r="516" ht="15.75" customHeight="1">
      <c r="J516" s="34"/>
    </row>
    <row r="517" ht="15.75" customHeight="1">
      <c r="J517" s="34"/>
    </row>
    <row r="518" ht="15.75" customHeight="1">
      <c r="J518" s="34"/>
    </row>
    <row r="519" ht="15.75" customHeight="1">
      <c r="J519" s="34"/>
    </row>
    <row r="520" ht="15.75" customHeight="1">
      <c r="J520" s="34"/>
    </row>
    <row r="521" ht="15.75" customHeight="1">
      <c r="J521" s="34"/>
    </row>
    <row r="522" ht="15.75" customHeight="1">
      <c r="J522" s="34"/>
    </row>
    <row r="523" ht="15.75" customHeight="1">
      <c r="J523" s="34"/>
    </row>
    <row r="524" ht="15.75" customHeight="1">
      <c r="J524" s="34"/>
    </row>
    <row r="525" ht="15.75" customHeight="1">
      <c r="J525" s="34"/>
    </row>
    <row r="526" ht="15.75" customHeight="1">
      <c r="J526" s="34"/>
    </row>
    <row r="527" ht="15.75" customHeight="1">
      <c r="J527" s="34"/>
    </row>
    <row r="528" ht="15.75" customHeight="1">
      <c r="J528" s="34"/>
    </row>
    <row r="529" ht="15.75" customHeight="1">
      <c r="J529" s="34"/>
    </row>
    <row r="530" ht="15.75" customHeight="1">
      <c r="J530" s="34"/>
    </row>
    <row r="531" ht="15.75" customHeight="1">
      <c r="J531" s="34"/>
    </row>
    <row r="532" ht="15.75" customHeight="1">
      <c r="J532" s="34"/>
    </row>
    <row r="533" ht="15.75" customHeight="1">
      <c r="J533" s="34"/>
    </row>
    <row r="534" ht="15.75" customHeight="1">
      <c r="J534" s="34"/>
    </row>
    <row r="535" ht="15.75" customHeight="1">
      <c r="J535" s="34"/>
    </row>
    <row r="536" ht="15.75" customHeight="1">
      <c r="J536" s="34"/>
    </row>
    <row r="537" ht="15.75" customHeight="1">
      <c r="J537" s="34"/>
    </row>
    <row r="538" ht="15.75" customHeight="1">
      <c r="J538" s="34"/>
    </row>
    <row r="539" ht="15.75" customHeight="1">
      <c r="J539" s="34"/>
    </row>
    <row r="540" ht="15.75" customHeight="1">
      <c r="J540" s="34"/>
    </row>
    <row r="541" ht="15.75" customHeight="1">
      <c r="J541" s="34"/>
    </row>
    <row r="542" ht="15.75" customHeight="1">
      <c r="J542" s="34"/>
    </row>
    <row r="543" ht="15.75" customHeight="1">
      <c r="J543" s="34"/>
    </row>
    <row r="544" ht="15.75" customHeight="1">
      <c r="J544" s="34"/>
    </row>
    <row r="545" ht="15.75" customHeight="1">
      <c r="J545" s="34"/>
    </row>
    <row r="546" ht="15.75" customHeight="1">
      <c r="J546" s="34"/>
    </row>
    <row r="547" ht="15.75" customHeight="1">
      <c r="J547" s="34"/>
    </row>
    <row r="548" ht="15.75" customHeight="1">
      <c r="J548" s="34"/>
    </row>
    <row r="549" ht="15.75" customHeight="1">
      <c r="J549" s="34"/>
    </row>
    <row r="550" ht="15.75" customHeight="1">
      <c r="J550" s="34"/>
    </row>
    <row r="551" ht="15.75" customHeight="1">
      <c r="J551" s="34"/>
    </row>
    <row r="552" ht="15.75" customHeight="1">
      <c r="J552" s="34"/>
    </row>
    <row r="553" ht="15.75" customHeight="1">
      <c r="J553" s="34"/>
    </row>
    <row r="554" ht="15.75" customHeight="1">
      <c r="J554" s="34"/>
    </row>
    <row r="555" ht="15.75" customHeight="1">
      <c r="J555" s="34"/>
    </row>
    <row r="556" ht="15.75" customHeight="1">
      <c r="J556" s="34"/>
    </row>
    <row r="557" ht="15.75" customHeight="1">
      <c r="J557" s="34"/>
    </row>
    <row r="558" ht="15.75" customHeight="1">
      <c r="J558" s="34"/>
    </row>
    <row r="559" ht="15.75" customHeight="1">
      <c r="J559" s="34"/>
    </row>
    <row r="560" ht="15.75" customHeight="1">
      <c r="J560" s="34"/>
    </row>
    <row r="561" ht="15.75" customHeight="1">
      <c r="J561" s="34"/>
    </row>
    <row r="562" ht="15.75" customHeight="1">
      <c r="J562" s="34"/>
    </row>
    <row r="563" ht="15.75" customHeight="1">
      <c r="J563" s="34"/>
    </row>
    <row r="564" ht="15.75" customHeight="1">
      <c r="J564" s="34"/>
    </row>
    <row r="565" ht="15.75" customHeight="1">
      <c r="J565" s="34"/>
    </row>
    <row r="566" ht="15.75" customHeight="1">
      <c r="J566" s="34"/>
    </row>
    <row r="567" ht="15.75" customHeight="1">
      <c r="J567" s="34"/>
    </row>
    <row r="568" ht="15.75" customHeight="1">
      <c r="J568" s="34"/>
    </row>
    <row r="569" ht="15.75" customHeight="1">
      <c r="J569" s="34"/>
    </row>
    <row r="570" ht="15.75" customHeight="1">
      <c r="J570" s="34"/>
    </row>
    <row r="571" ht="15.75" customHeight="1">
      <c r="J571" s="34"/>
    </row>
    <row r="572" ht="15.75" customHeight="1">
      <c r="J572" s="34"/>
    </row>
    <row r="573" ht="15.75" customHeight="1">
      <c r="J573" s="34"/>
    </row>
    <row r="574" ht="15.75" customHeight="1">
      <c r="J574" s="34"/>
    </row>
    <row r="575" ht="15.75" customHeight="1">
      <c r="J575" s="34"/>
    </row>
    <row r="576" ht="15.75" customHeight="1">
      <c r="J576" s="34"/>
    </row>
    <row r="577" ht="15.75" customHeight="1">
      <c r="J577" s="34"/>
    </row>
    <row r="578" ht="15.75" customHeight="1">
      <c r="J578" s="34"/>
    </row>
    <row r="579" ht="15.75" customHeight="1">
      <c r="J579" s="34"/>
    </row>
    <row r="580" ht="15.75" customHeight="1">
      <c r="J580" s="34"/>
    </row>
    <row r="581" ht="15.75" customHeight="1">
      <c r="J581" s="34"/>
    </row>
    <row r="582" ht="15.75" customHeight="1">
      <c r="J582" s="34"/>
    </row>
    <row r="583" ht="15.75" customHeight="1">
      <c r="J583" s="34"/>
    </row>
    <row r="584" ht="15.75" customHeight="1">
      <c r="J584" s="34"/>
    </row>
    <row r="585" ht="15.75" customHeight="1">
      <c r="J585" s="34"/>
    </row>
    <row r="586" ht="15.75" customHeight="1">
      <c r="J586" s="34"/>
    </row>
    <row r="587" ht="15.75" customHeight="1">
      <c r="J587" s="34"/>
    </row>
    <row r="588" ht="15.75" customHeight="1">
      <c r="J588" s="34"/>
    </row>
    <row r="589" ht="15.75" customHeight="1">
      <c r="J589" s="34"/>
    </row>
    <row r="590" ht="15.75" customHeight="1">
      <c r="J590" s="34"/>
    </row>
    <row r="591" ht="15.75" customHeight="1">
      <c r="J591" s="34"/>
    </row>
    <row r="592" ht="15.75" customHeight="1">
      <c r="J592" s="34"/>
    </row>
    <row r="593" ht="15.75" customHeight="1">
      <c r="J593" s="34"/>
    </row>
    <row r="594" ht="15.75" customHeight="1">
      <c r="J594" s="34"/>
    </row>
    <row r="595" ht="15.75" customHeight="1">
      <c r="J595" s="34"/>
    </row>
    <row r="596" ht="15.75" customHeight="1">
      <c r="J596" s="34"/>
    </row>
    <row r="597" ht="15.75" customHeight="1">
      <c r="J597" s="34"/>
    </row>
    <row r="598" ht="15.75" customHeight="1">
      <c r="J598" s="34"/>
    </row>
    <row r="599" ht="15.75" customHeight="1">
      <c r="J599" s="34"/>
    </row>
    <row r="600" ht="15.75" customHeight="1">
      <c r="J600" s="34"/>
    </row>
    <row r="601" ht="15.75" customHeight="1">
      <c r="J601" s="34"/>
    </row>
    <row r="602" ht="15.75" customHeight="1">
      <c r="J602" s="34"/>
    </row>
    <row r="603" ht="15.75" customHeight="1">
      <c r="J603" s="34"/>
    </row>
    <row r="604" ht="15.75" customHeight="1">
      <c r="J604" s="34"/>
    </row>
    <row r="605" ht="15.75" customHeight="1">
      <c r="J605" s="34"/>
    </row>
    <row r="606" ht="15.75" customHeight="1">
      <c r="J606" s="34"/>
    </row>
    <row r="607" ht="15.75" customHeight="1">
      <c r="J607" s="34"/>
    </row>
    <row r="608" ht="15.75" customHeight="1">
      <c r="J608" s="34"/>
    </row>
    <row r="609" ht="15.75" customHeight="1">
      <c r="J609" s="34"/>
    </row>
    <row r="610" ht="15.75" customHeight="1">
      <c r="J610" s="34"/>
    </row>
    <row r="611" ht="15.75" customHeight="1">
      <c r="J611" s="34"/>
    </row>
    <row r="612" ht="15.75" customHeight="1">
      <c r="J612" s="34"/>
    </row>
    <row r="613" ht="15.75" customHeight="1">
      <c r="J613" s="34"/>
    </row>
    <row r="614" ht="15.75" customHeight="1">
      <c r="J614" s="34"/>
    </row>
    <row r="615" ht="15.75" customHeight="1">
      <c r="J615" s="34"/>
    </row>
    <row r="616" ht="15.75" customHeight="1">
      <c r="J616" s="34"/>
    </row>
    <row r="617" ht="15.75" customHeight="1">
      <c r="J617" s="34"/>
    </row>
    <row r="618" ht="15.75" customHeight="1">
      <c r="J618" s="34"/>
    </row>
    <row r="619" ht="15.75" customHeight="1">
      <c r="J619" s="34"/>
    </row>
    <row r="620" ht="15.75" customHeight="1">
      <c r="J620" s="34"/>
    </row>
    <row r="621" ht="15.75" customHeight="1">
      <c r="J621" s="34"/>
    </row>
    <row r="622" ht="15.75" customHeight="1">
      <c r="J622" s="34"/>
    </row>
    <row r="623" ht="15.75" customHeight="1">
      <c r="J623" s="34"/>
    </row>
    <row r="624" ht="15.75" customHeight="1">
      <c r="J624" s="34"/>
    </row>
    <row r="625" ht="15.75" customHeight="1">
      <c r="J625" s="34"/>
    </row>
    <row r="626" ht="15.75" customHeight="1">
      <c r="J626" s="34"/>
    </row>
    <row r="627" ht="15.75" customHeight="1">
      <c r="J627" s="34"/>
    </row>
    <row r="628" ht="15.75" customHeight="1">
      <c r="J628" s="34"/>
    </row>
    <row r="629" ht="15.75" customHeight="1">
      <c r="J629" s="34"/>
    </row>
    <row r="630" ht="15.75" customHeight="1">
      <c r="J630" s="34"/>
    </row>
    <row r="631" ht="15.75" customHeight="1">
      <c r="J631" s="34"/>
    </row>
    <row r="632" ht="15.75" customHeight="1">
      <c r="J632" s="34"/>
    </row>
    <row r="633" ht="15.75" customHeight="1">
      <c r="J633" s="34"/>
    </row>
    <row r="634" ht="15.75" customHeight="1">
      <c r="J634" s="34"/>
    </row>
    <row r="635" ht="15.75" customHeight="1">
      <c r="J635" s="34"/>
    </row>
    <row r="636" ht="15.75" customHeight="1">
      <c r="J636" s="34"/>
    </row>
    <row r="637" ht="15.75" customHeight="1">
      <c r="J637" s="34"/>
    </row>
    <row r="638" ht="15.75" customHeight="1">
      <c r="J638" s="34"/>
    </row>
    <row r="639" ht="15.75" customHeight="1">
      <c r="J639" s="34"/>
    </row>
    <row r="640" ht="15.75" customHeight="1">
      <c r="J640" s="34"/>
    </row>
    <row r="641" ht="15.75" customHeight="1">
      <c r="J641" s="34"/>
    </row>
    <row r="642" ht="15.75" customHeight="1">
      <c r="J642" s="34"/>
    </row>
    <row r="643" ht="15.75" customHeight="1">
      <c r="J643" s="34"/>
    </row>
    <row r="644" ht="15.75" customHeight="1">
      <c r="J644" s="34"/>
    </row>
    <row r="645" ht="15.75" customHeight="1">
      <c r="J645" s="34"/>
    </row>
    <row r="646" ht="15.75" customHeight="1">
      <c r="J646" s="34"/>
    </row>
    <row r="647" ht="15.75" customHeight="1">
      <c r="J647" s="34"/>
    </row>
    <row r="648" ht="15.75" customHeight="1">
      <c r="J648" s="34"/>
    </row>
    <row r="649" ht="15.75" customHeight="1">
      <c r="J649" s="34"/>
    </row>
    <row r="650" ht="15.75" customHeight="1">
      <c r="J650" s="34"/>
    </row>
    <row r="651" ht="15.75" customHeight="1">
      <c r="J651" s="34"/>
    </row>
    <row r="652" ht="15.75" customHeight="1">
      <c r="J652" s="34"/>
    </row>
    <row r="653" ht="15.75" customHeight="1">
      <c r="J653" s="34"/>
    </row>
    <row r="654" ht="15.75" customHeight="1">
      <c r="J654" s="34"/>
    </row>
    <row r="655" ht="15.75" customHeight="1">
      <c r="J655" s="34"/>
    </row>
    <row r="656" ht="15.75" customHeight="1">
      <c r="J656" s="34"/>
    </row>
    <row r="657" ht="15.75" customHeight="1">
      <c r="J657" s="34"/>
    </row>
    <row r="658" ht="15.75" customHeight="1">
      <c r="J658" s="34"/>
    </row>
    <row r="659" ht="15.75" customHeight="1">
      <c r="J659" s="34"/>
    </row>
    <row r="660" ht="15.75" customHeight="1">
      <c r="J660" s="34"/>
    </row>
    <row r="661" ht="15.75" customHeight="1">
      <c r="J661" s="34"/>
    </row>
    <row r="662" ht="15.75" customHeight="1">
      <c r="J662" s="34"/>
    </row>
    <row r="663" ht="15.75" customHeight="1">
      <c r="J663" s="34"/>
    </row>
    <row r="664" ht="15.75" customHeight="1">
      <c r="J664" s="34"/>
    </row>
    <row r="665" ht="15.75" customHeight="1">
      <c r="J665" s="34"/>
    </row>
    <row r="666" ht="15.75" customHeight="1">
      <c r="J666" s="34"/>
    </row>
    <row r="667" ht="15.75" customHeight="1">
      <c r="J667" s="34"/>
    </row>
    <row r="668" ht="15.75" customHeight="1">
      <c r="J668" s="34"/>
    </row>
    <row r="669" ht="15.75" customHeight="1">
      <c r="J669" s="34"/>
    </row>
    <row r="670" ht="15.75" customHeight="1">
      <c r="J670" s="34"/>
    </row>
    <row r="671" ht="15.75" customHeight="1">
      <c r="J671" s="34"/>
    </row>
    <row r="672" ht="15.75" customHeight="1">
      <c r="J672" s="34"/>
    </row>
    <row r="673" ht="15.75" customHeight="1">
      <c r="J673" s="34"/>
    </row>
    <row r="674" ht="15.75" customHeight="1">
      <c r="J674" s="34"/>
    </row>
    <row r="675" ht="15.75" customHeight="1">
      <c r="J675" s="34"/>
    </row>
    <row r="676" ht="15.75" customHeight="1">
      <c r="J676" s="34"/>
    </row>
    <row r="677" ht="15.75" customHeight="1">
      <c r="J677" s="34"/>
    </row>
    <row r="678" ht="15.75" customHeight="1">
      <c r="J678" s="34"/>
    </row>
    <row r="679" ht="15.75" customHeight="1">
      <c r="J679" s="34"/>
    </row>
    <row r="680" ht="15.75" customHeight="1">
      <c r="J680" s="34"/>
    </row>
    <row r="681" ht="15.75" customHeight="1">
      <c r="J681" s="34"/>
    </row>
    <row r="682" ht="15.75" customHeight="1">
      <c r="J682" s="34"/>
    </row>
    <row r="683" ht="15.75" customHeight="1">
      <c r="J683" s="34"/>
    </row>
    <row r="684" ht="15.75" customHeight="1">
      <c r="J684" s="34"/>
    </row>
    <row r="685" ht="15.75" customHeight="1">
      <c r="J685" s="34"/>
    </row>
    <row r="686" ht="15.75" customHeight="1">
      <c r="J686" s="34"/>
    </row>
    <row r="687" ht="15.75" customHeight="1">
      <c r="J687" s="34"/>
    </row>
    <row r="688" ht="15.75" customHeight="1">
      <c r="J688" s="34"/>
    </row>
    <row r="689" ht="15.75" customHeight="1">
      <c r="J689" s="34"/>
    </row>
    <row r="690" ht="15.75" customHeight="1">
      <c r="J690" s="34"/>
    </row>
    <row r="691" ht="15.75" customHeight="1">
      <c r="J691" s="34"/>
    </row>
    <row r="692" ht="15.75" customHeight="1">
      <c r="J692" s="34"/>
    </row>
    <row r="693" ht="15.75" customHeight="1">
      <c r="J693" s="34"/>
    </row>
    <row r="694" ht="15.75" customHeight="1">
      <c r="J694" s="34"/>
    </row>
    <row r="695" ht="15.75" customHeight="1">
      <c r="J695" s="34"/>
    </row>
    <row r="696" ht="15.75" customHeight="1">
      <c r="J696" s="34"/>
    </row>
    <row r="697" ht="15.75" customHeight="1">
      <c r="J697" s="34"/>
    </row>
    <row r="698" ht="15.75" customHeight="1">
      <c r="J698" s="34"/>
    </row>
    <row r="699" ht="15.75" customHeight="1">
      <c r="J699" s="34"/>
    </row>
    <row r="700" ht="15.75" customHeight="1">
      <c r="J700" s="34"/>
    </row>
    <row r="701" ht="15.75" customHeight="1">
      <c r="J701" s="34"/>
    </row>
    <row r="702" ht="15.75" customHeight="1">
      <c r="J702" s="34"/>
    </row>
    <row r="703" ht="15.75" customHeight="1">
      <c r="J703" s="34"/>
    </row>
    <row r="704" ht="15.75" customHeight="1">
      <c r="J704" s="34"/>
    </row>
    <row r="705" ht="15.75" customHeight="1">
      <c r="J705" s="34"/>
    </row>
    <row r="706" ht="15.75" customHeight="1">
      <c r="J706" s="34"/>
    </row>
    <row r="707" ht="15.75" customHeight="1">
      <c r="J707" s="34"/>
    </row>
    <row r="708" ht="15.75" customHeight="1">
      <c r="J708" s="34"/>
    </row>
    <row r="709" ht="15.75" customHeight="1">
      <c r="J709" s="34"/>
    </row>
    <row r="710" ht="15.75" customHeight="1">
      <c r="J710" s="34"/>
    </row>
    <row r="711" ht="15.75" customHeight="1">
      <c r="J711" s="34"/>
    </row>
    <row r="712" ht="15.75" customHeight="1">
      <c r="J712" s="34"/>
    </row>
    <row r="713" ht="15.75" customHeight="1">
      <c r="J713" s="34"/>
    </row>
    <row r="714" ht="15.75" customHeight="1">
      <c r="J714" s="34"/>
    </row>
    <row r="715" ht="15.75" customHeight="1">
      <c r="J715" s="34"/>
    </row>
    <row r="716" ht="15.75" customHeight="1">
      <c r="J716" s="34"/>
    </row>
    <row r="717" ht="15.75" customHeight="1">
      <c r="J717" s="34"/>
    </row>
    <row r="718" ht="15.75" customHeight="1">
      <c r="J718" s="34"/>
    </row>
    <row r="719" ht="15.75" customHeight="1">
      <c r="J719" s="34"/>
    </row>
    <row r="720" ht="15.75" customHeight="1">
      <c r="J720" s="34"/>
    </row>
    <row r="721" ht="15.75" customHeight="1">
      <c r="J721" s="34"/>
    </row>
    <row r="722" ht="15.75" customHeight="1">
      <c r="J722" s="34"/>
    </row>
    <row r="723" ht="15.75" customHeight="1">
      <c r="J723" s="34"/>
    </row>
    <row r="724" ht="15.75" customHeight="1">
      <c r="J724" s="34"/>
    </row>
    <row r="725" ht="15.75" customHeight="1">
      <c r="J725" s="34"/>
    </row>
    <row r="726" ht="15.75" customHeight="1">
      <c r="J726" s="34"/>
    </row>
    <row r="727" ht="15.75" customHeight="1">
      <c r="J727" s="34"/>
    </row>
    <row r="728" ht="15.75" customHeight="1">
      <c r="J728" s="34"/>
    </row>
    <row r="729" ht="15.75" customHeight="1">
      <c r="J729" s="34"/>
    </row>
    <row r="730" ht="15.75" customHeight="1">
      <c r="J730" s="34"/>
    </row>
    <row r="731" ht="15.75" customHeight="1">
      <c r="J731" s="34"/>
    </row>
    <row r="732" ht="15.75" customHeight="1">
      <c r="J732" s="34"/>
    </row>
    <row r="733" ht="15.75" customHeight="1">
      <c r="J733" s="34"/>
    </row>
    <row r="734" ht="15.75" customHeight="1">
      <c r="J734" s="34"/>
    </row>
    <row r="735" ht="15.75" customHeight="1">
      <c r="J735" s="34"/>
    </row>
    <row r="736" ht="15.75" customHeight="1">
      <c r="J736" s="34"/>
    </row>
    <row r="737" ht="15.75" customHeight="1">
      <c r="J737" s="34"/>
    </row>
    <row r="738" ht="15.75" customHeight="1">
      <c r="J738" s="34"/>
    </row>
    <row r="739" ht="15.75" customHeight="1">
      <c r="J739" s="34"/>
    </row>
    <row r="740" ht="15.75" customHeight="1">
      <c r="J740" s="34"/>
    </row>
    <row r="741" ht="15.75" customHeight="1">
      <c r="J741" s="34"/>
    </row>
    <row r="742" ht="15.75" customHeight="1">
      <c r="J742" s="34"/>
    </row>
    <row r="743" ht="15.75" customHeight="1">
      <c r="J743" s="34"/>
    </row>
    <row r="744" ht="15.75" customHeight="1">
      <c r="J744" s="34"/>
    </row>
    <row r="745" ht="15.75" customHeight="1">
      <c r="J745" s="34"/>
    </row>
    <row r="746" ht="15.75" customHeight="1">
      <c r="J746" s="34"/>
    </row>
    <row r="747" ht="15.75" customHeight="1">
      <c r="J747" s="34"/>
    </row>
    <row r="748" ht="15.75" customHeight="1">
      <c r="J748" s="34"/>
    </row>
    <row r="749" ht="15.75" customHeight="1">
      <c r="J749" s="34"/>
    </row>
    <row r="750" ht="15.75" customHeight="1">
      <c r="J750" s="34"/>
    </row>
    <row r="751" ht="15.75" customHeight="1">
      <c r="J751" s="34"/>
    </row>
    <row r="752" ht="15.75" customHeight="1">
      <c r="J752" s="34"/>
    </row>
    <row r="753" ht="15.75" customHeight="1">
      <c r="J753" s="34"/>
    </row>
    <row r="754" ht="15.75" customHeight="1">
      <c r="J754" s="34"/>
    </row>
    <row r="755" ht="15.75" customHeight="1">
      <c r="J755" s="34"/>
    </row>
    <row r="756" ht="15.75" customHeight="1">
      <c r="J756" s="34"/>
    </row>
    <row r="757" ht="15.75" customHeight="1">
      <c r="J757" s="34"/>
    </row>
    <row r="758" ht="15.75" customHeight="1">
      <c r="J758" s="34"/>
    </row>
    <row r="759" ht="15.75" customHeight="1">
      <c r="J759" s="34"/>
    </row>
    <row r="760" ht="15.75" customHeight="1">
      <c r="J760" s="34"/>
    </row>
    <row r="761" ht="15.75" customHeight="1">
      <c r="J761" s="34"/>
    </row>
    <row r="762" ht="15.75" customHeight="1">
      <c r="J762" s="34"/>
    </row>
    <row r="763" ht="15.75" customHeight="1">
      <c r="J763" s="34"/>
    </row>
    <row r="764" ht="15.75" customHeight="1">
      <c r="J764" s="34"/>
    </row>
    <row r="765" ht="15.75" customHeight="1">
      <c r="J765" s="34"/>
    </row>
    <row r="766" ht="15.75" customHeight="1">
      <c r="J766" s="34"/>
    </row>
    <row r="767" ht="15.75" customHeight="1">
      <c r="J767" s="34"/>
    </row>
    <row r="768" ht="15.75" customHeight="1">
      <c r="J768" s="34"/>
    </row>
    <row r="769" ht="15.75" customHeight="1">
      <c r="J769" s="34"/>
    </row>
    <row r="770" ht="15.75" customHeight="1">
      <c r="J770" s="34"/>
    </row>
    <row r="771" ht="15.75" customHeight="1">
      <c r="J771" s="34"/>
    </row>
    <row r="772" ht="15.75" customHeight="1">
      <c r="J772" s="34"/>
    </row>
    <row r="773" ht="15.75" customHeight="1">
      <c r="J773" s="34"/>
    </row>
    <row r="774" ht="15.75" customHeight="1">
      <c r="J774" s="34"/>
    </row>
    <row r="775" ht="15.75" customHeight="1">
      <c r="J775" s="34"/>
    </row>
    <row r="776" ht="15.75" customHeight="1">
      <c r="J776" s="34"/>
    </row>
    <row r="777" ht="15.75" customHeight="1">
      <c r="J777" s="34"/>
    </row>
    <row r="778" ht="15.75" customHeight="1">
      <c r="J778" s="34"/>
    </row>
    <row r="779" ht="15.75" customHeight="1">
      <c r="J779" s="34"/>
    </row>
    <row r="780" ht="15.75" customHeight="1">
      <c r="J780" s="34"/>
    </row>
    <row r="781" ht="15.75" customHeight="1">
      <c r="J781" s="34"/>
    </row>
    <row r="782" ht="15.75" customHeight="1">
      <c r="J782" s="34"/>
    </row>
    <row r="783" ht="15.75" customHeight="1">
      <c r="J783" s="34"/>
    </row>
    <row r="784" ht="15.75" customHeight="1">
      <c r="J784" s="34"/>
    </row>
    <row r="785" ht="15.75" customHeight="1">
      <c r="J785" s="34"/>
    </row>
    <row r="786" ht="15.75" customHeight="1">
      <c r="J786" s="34"/>
    </row>
    <row r="787" ht="15.75" customHeight="1">
      <c r="J787" s="34"/>
    </row>
    <row r="788" ht="15.75" customHeight="1">
      <c r="J788" s="34"/>
    </row>
    <row r="789" ht="15.75" customHeight="1">
      <c r="J789" s="34"/>
    </row>
    <row r="790" ht="15.75" customHeight="1">
      <c r="J790" s="34"/>
    </row>
    <row r="791" ht="15.75" customHeight="1">
      <c r="J791" s="34"/>
    </row>
    <row r="792" ht="15.75" customHeight="1">
      <c r="J792" s="34"/>
    </row>
    <row r="793" ht="15.75" customHeight="1">
      <c r="J793" s="34"/>
    </row>
    <row r="794" ht="15.75" customHeight="1">
      <c r="J794" s="34"/>
    </row>
    <row r="795" ht="15.75" customHeight="1">
      <c r="J795" s="34"/>
    </row>
    <row r="796" ht="15.75" customHeight="1">
      <c r="J796" s="34"/>
    </row>
    <row r="797" ht="15.75" customHeight="1">
      <c r="J797" s="34"/>
    </row>
    <row r="798" ht="15.75" customHeight="1">
      <c r="J798" s="34"/>
    </row>
    <row r="799" ht="15.75" customHeight="1">
      <c r="J799" s="34"/>
    </row>
    <row r="800" ht="15.75" customHeight="1">
      <c r="J800" s="34"/>
    </row>
    <row r="801" ht="15.75" customHeight="1">
      <c r="J801" s="34"/>
    </row>
    <row r="802" ht="15.75" customHeight="1">
      <c r="J802" s="34"/>
    </row>
    <row r="803" ht="15.75" customHeight="1">
      <c r="J803" s="34"/>
    </row>
    <row r="804" ht="15.75" customHeight="1">
      <c r="J804" s="34"/>
    </row>
    <row r="805" ht="15.75" customHeight="1">
      <c r="J805" s="34"/>
    </row>
    <row r="806" ht="15.75" customHeight="1">
      <c r="J806" s="34"/>
    </row>
    <row r="807" ht="15.75" customHeight="1">
      <c r="J807" s="34"/>
    </row>
    <row r="808" ht="15.75" customHeight="1">
      <c r="J808" s="34"/>
    </row>
    <row r="809" ht="15.75" customHeight="1">
      <c r="J809" s="34"/>
    </row>
    <row r="810" ht="15.75" customHeight="1">
      <c r="J810" s="34"/>
    </row>
    <row r="811" ht="15.75" customHeight="1">
      <c r="J811" s="34"/>
    </row>
    <row r="812" ht="15.75" customHeight="1">
      <c r="J812" s="34"/>
    </row>
    <row r="813" ht="15.75" customHeight="1">
      <c r="J813" s="34"/>
    </row>
    <row r="814" ht="15.75" customHeight="1">
      <c r="J814" s="34"/>
    </row>
    <row r="815" ht="15.75" customHeight="1">
      <c r="J815" s="34"/>
    </row>
    <row r="816" ht="15.75" customHeight="1">
      <c r="J816" s="34"/>
    </row>
    <row r="817" ht="15.75" customHeight="1">
      <c r="J817" s="34"/>
    </row>
    <row r="818" ht="15.75" customHeight="1">
      <c r="J818" s="34"/>
    </row>
    <row r="819" ht="15.75" customHeight="1">
      <c r="J819" s="34"/>
    </row>
    <row r="820" ht="15.75" customHeight="1">
      <c r="J820" s="34"/>
    </row>
    <row r="821" ht="15.75" customHeight="1">
      <c r="J821" s="34"/>
    </row>
    <row r="822" ht="15.75" customHeight="1">
      <c r="J822" s="34"/>
    </row>
    <row r="823" ht="15.75" customHeight="1">
      <c r="J823" s="34"/>
    </row>
    <row r="824" ht="15.75" customHeight="1">
      <c r="J824" s="34"/>
    </row>
    <row r="825" ht="15.75" customHeight="1">
      <c r="J825" s="34"/>
    </row>
    <row r="826" ht="15.75" customHeight="1">
      <c r="J826" s="34"/>
    </row>
    <row r="827" ht="15.75" customHeight="1">
      <c r="J827" s="34"/>
    </row>
    <row r="828" ht="15.75" customHeight="1">
      <c r="J828" s="34"/>
    </row>
    <row r="829" ht="15.75" customHeight="1">
      <c r="J829" s="34"/>
    </row>
    <row r="830" ht="15.75" customHeight="1">
      <c r="J830" s="34"/>
    </row>
    <row r="831" ht="15.75" customHeight="1">
      <c r="J831" s="34"/>
    </row>
    <row r="832" ht="15.75" customHeight="1">
      <c r="J832" s="34"/>
    </row>
    <row r="833" ht="15.75" customHeight="1">
      <c r="J833" s="34"/>
    </row>
    <row r="834" ht="15.75" customHeight="1">
      <c r="J834" s="34"/>
    </row>
    <row r="835" ht="15.75" customHeight="1">
      <c r="J835" s="34"/>
    </row>
    <row r="836" ht="15.75" customHeight="1">
      <c r="J836" s="34"/>
    </row>
    <row r="837" ht="15.75" customHeight="1">
      <c r="J837" s="34"/>
    </row>
    <row r="838" ht="15.75" customHeight="1">
      <c r="J838" s="34"/>
    </row>
    <row r="839" ht="15.75" customHeight="1">
      <c r="J839" s="34"/>
    </row>
    <row r="840" ht="15.75" customHeight="1">
      <c r="J840" s="34"/>
    </row>
    <row r="841" ht="15.75" customHeight="1">
      <c r="J841" s="34"/>
    </row>
    <row r="842" ht="15.75" customHeight="1">
      <c r="J842" s="34"/>
    </row>
    <row r="843" ht="15.75" customHeight="1">
      <c r="J843" s="34"/>
    </row>
    <row r="844" ht="15.75" customHeight="1">
      <c r="J844" s="34"/>
    </row>
    <row r="845" ht="15.75" customHeight="1">
      <c r="J845" s="34"/>
    </row>
    <row r="846" ht="15.75" customHeight="1">
      <c r="J846" s="34"/>
    </row>
    <row r="847" ht="15.75" customHeight="1">
      <c r="J847" s="34"/>
    </row>
    <row r="848" ht="15.75" customHeight="1">
      <c r="J848" s="34"/>
    </row>
    <row r="849" ht="15.75" customHeight="1">
      <c r="J849" s="34"/>
    </row>
    <row r="850" ht="15.75" customHeight="1">
      <c r="J850" s="34"/>
    </row>
    <row r="851" ht="15.75" customHeight="1">
      <c r="J851" s="34"/>
    </row>
    <row r="852" ht="15.75" customHeight="1">
      <c r="J852" s="34"/>
    </row>
    <row r="853" ht="15.75" customHeight="1">
      <c r="J853" s="34"/>
    </row>
    <row r="854" ht="15.75" customHeight="1">
      <c r="J854" s="34"/>
    </row>
    <row r="855" ht="15.75" customHeight="1">
      <c r="J855" s="34"/>
    </row>
    <row r="856" ht="15.75" customHeight="1">
      <c r="J856" s="34"/>
    </row>
    <row r="857" ht="15.75" customHeight="1">
      <c r="J857" s="34"/>
    </row>
    <row r="858" ht="15.75" customHeight="1">
      <c r="J858" s="34"/>
    </row>
    <row r="859" ht="15.75" customHeight="1">
      <c r="J859" s="34"/>
    </row>
    <row r="860" ht="15.75" customHeight="1">
      <c r="J860" s="34"/>
    </row>
    <row r="861" ht="15.75" customHeight="1">
      <c r="J861" s="34"/>
    </row>
    <row r="862" ht="15.75" customHeight="1">
      <c r="J862" s="34"/>
    </row>
    <row r="863" ht="15.75" customHeight="1">
      <c r="J863" s="34"/>
    </row>
    <row r="864" ht="15.75" customHeight="1">
      <c r="J864" s="34"/>
    </row>
    <row r="865" ht="15.75" customHeight="1">
      <c r="J865" s="34"/>
    </row>
    <row r="866" ht="15.75" customHeight="1">
      <c r="J866" s="34"/>
    </row>
    <row r="867" ht="15.75" customHeight="1">
      <c r="J867" s="34"/>
    </row>
    <row r="868" ht="15.75" customHeight="1">
      <c r="J868" s="34"/>
    </row>
    <row r="869" ht="15.75" customHeight="1">
      <c r="J869" s="34"/>
    </row>
    <row r="870" ht="15.75" customHeight="1">
      <c r="J870" s="34"/>
    </row>
    <row r="871" ht="15.75" customHeight="1">
      <c r="J871" s="34"/>
    </row>
    <row r="872" ht="15.75" customHeight="1">
      <c r="J872" s="34"/>
    </row>
    <row r="873" ht="15.75" customHeight="1">
      <c r="J873" s="34"/>
    </row>
    <row r="874" ht="15.75" customHeight="1">
      <c r="J874" s="34"/>
    </row>
    <row r="875" ht="15.75" customHeight="1">
      <c r="J875" s="34"/>
    </row>
    <row r="876" ht="15.75" customHeight="1">
      <c r="J876" s="34"/>
    </row>
    <row r="877" ht="15.75" customHeight="1">
      <c r="J877" s="34"/>
    </row>
    <row r="878" ht="15.75" customHeight="1">
      <c r="J878" s="34"/>
    </row>
    <row r="879" ht="15.75" customHeight="1">
      <c r="J879" s="34"/>
    </row>
    <row r="880" ht="15.75" customHeight="1">
      <c r="J880" s="34"/>
    </row>
    <row r="881" ht="15.75" customHeight="1">
      <c r="J881" s="34"/>
    </row>
    <row r="882" ht="15.75" customHeight="1">
      <c r="J882" s="34"/>
    </row>
    <row r="883" ht="15.75" customHeight="1">
      <c r="J883" s="34"/>
    </row>
    <row r="884" ht="15.75" customHeight="1">
      <c r="J884" s="34"/>
    </row>
    <row r="885" ht="15.75" customHeight="1">
      <c r="J885" s="34"/>
    </row>
    <row r="886" ht="15.75" customHeight="1">
      <c r="J886" s="34"/>
    </row>
    <row r="887" ht="15.75" customHeight="1">
      <c r="J887" s="34"/>
    </row>
    <row r="888" ht="15.75" customHeight="1">
      <c r="J888" s="34"/>
    </row>
    <row r="889" ht="15.75" customHeight="1">
      <c r="J889" s="34"/>
    </row>
    <row r="890" ht="15.75" customHeight="1">
      <c r="J890" s="34"/>
    </row>
    <row r="891" ht="15.75" customHeight="1">
      <c r="J891" s="34"/>
    </row>
    <row r="892" ht="15.75" customHeight="1">
      <c r="J892" s="34"/>
    </row>
    <row r="893" ht="15.75" customHeight="1">
      <c r="J893" s="34"/>
    </row>
    <row r="894" ht="15.75" customHeight="1">
      <c r="J894" s="34"/>
    </row>
    <row r="895" ht="15.75" customHeight="1">
      <c r="J895" s="34"/>
    </row>
    <row r="896" ht="15.75" customHeight="1">
      <c r="J896" s="34"/>
    </row>
    <row r="897" ht="15.75" customHeight="1">
      <c r="J897" s="34"/>
    </row>
    <row r="898" ht="15.75" customHeight="1">
      <c r="J898" s="34"/>
    </row>
    <row r="899" ht="15.75" customHeight="1">
      <c r="J899" s="34"/>
    </row>
    <row r="900" ht="15.75" customHeight="1">
      <c r="J900" s="34"/>
    </row>
    <row r="901" ht="15.75" customHeight="1">
      <c r="J901" s="34"/>
    </row>
    <row r="902" ht="15.75" customHeight="1">
      <c r="J902" s="34"/>
    </row>
    <row r="903" ht="15.75" customHeight="1">
      <c r="J903" s="34"/>
    </row>
    <row r="904" ht="15.75" customHeight="1">
      <c r="J904" s="34"/>
    </row>
    <row r="905" ht="15.75" customHeight="1">
      <c r="J905" s="34"/>
    </row>
    <row r="906" ht="15.75" customHeight="1">
      <c r="J906" s="34"/>
    </row>
    <row r="907" ht="15.75" customHeight="1">
      <c r="J907" s="34"/>
    </row>
    <row r="908" ht="15.75" customHeight="1">
      <c r="J908" s="34"/>
    </row>
    <row r="909" ht="15.75" customHeight="1">
      <c r="J909" s="34"/>
    </row>
    <row r="910" ht="15.75" customHeight="1">
      <c r="J910" s="34"/>
    </row>
    <row r="911" ht="15.75" customHeight="1">
      <c r="J911" s="34"/>
    </row>
    <row r="912" ht="15.75" customHeight="1">
      <c r="J912" s="34"/>
    </row>
    <row r="913" ht="15.75" customHeight="1">
      <c r="J913" s="34"/>
    </row>
    <row r="914" ht="15.75" customHeight="1">
      <c r="J914" s="34"/>
    </row>
    <row r="915" ht="15.75" customHeight="1">
      <c r="J915" s="34"/>
    </row>
    <row r="916" ht="15.75" customHeight="1">
      <c r="J916" s="34"/>
    </row>
    <row r="917" ht="15.75" customHeight="1">
      <c r="J917" s="34"/>
    </row>
    <row r="918" ht="15.75" customHeight="1">
      <c r="J918" s="34"/>
    </row>
    <row r="919" ht="15.75" customHeight="1">
      <c r="J919" s="34"/>
    </row>
    <row r="920" ht="15.75" customHeight="1">
      <c r="J920" s="34"/>
    </row>
    <row r="921" ht="15.75" customHeight="1">
      <c r="J921" s="34"/>
    </row>
    <row r="922" ht="15.75" customHeight="1">
      <c r="J922" s="34"/>
    </row>
    <row r="923" ht="15.75" customHeight="1">
      <c r="J923" s="34"/>
    </row>
    <row r="924" ht="15.75" customHeight="1">
      <c r="J924" s="34"/>
    </row>
    <row r="925" ht="15.75" customHeight="1">
      <c r="J925" s="34"/>
    </row>
    <row r="926" ht="15.75" customHeight="1">
      <c r="J926" s="34"/>
    </row>
    <row r="927" ht="15.75" customHeight="1">
      <c r="J927" s="34"/>
    </row>
    <row r="928" ht="15.75" customHeight="1">
      <c r="J928" s="34"/>
    </row>
    <row r="929" ht="15.75" customHeight="1">
      <c r="J929" s="34"/>
    </row>
    <row r="930" ht="15.75" customHeight="1">
      <c r="J930" s="34"/>
    </row>
    <row r="931" ht="15.75" customHeight="1">
      <c r="J931" s="34"/>
    </row>
    <row r="932" ht="15.75" customHeight="1">
      <c r="J932" s="34"/>
    </row>
    <row r="933" ht="15.75" customHeight="1">
      <c r="J933" s="34"/>
    </row>
    <row r="934" ht="15.75" customHeight="1">
      <c r="J934" s="34"/>
    </row>
    <row r="935" ht="15.75" customHeight="1">
      <c r="J935" s="34"/>
    </row>
    <row r="936" ht="15.75" customHeight="1">
      <c r="J936" s="34"/>
    </row>
    <row r="937" ht="15.75" customHeight="1">
      <c r="J937" s="34"/>
    </row>
    <row r="938" ht="15.75" customHeight="1">
      <c r="J938" s="34"/>
    </row>
    <row r="939" ht="15.75" customHeight="1">
      <c r="J939" s="34"/>
    </row>
    <row r="940" ht="15.75" customHeight="1">
      <c r="J940" s="34"/>
    </row>
    <row r="941" ht="15.75" customHeight="1">
      <c r="J941" s="34"/>
    </row>
    <row r="942" ht="15.75" customHeight="1">
      <c r="J942" s="34"/>
    </row>
    <row r="943" ht="15.75" customHeight="1">
      <c r="J943" s="34"/>
    </row>
    <row r="944" ht="15.75" customHeight="1">
      <c r="J944" s="34"/>
    </row>
    <row r="945" ht="15.75" customHeight="1">
      <c r="J945" s="34"/>
    </row>
    <row r="946" ht="15.75" customHeight="1">
      <c r="J946" s="34"/>
    </row>
    <row r="947" ht="15.75" customHeight="1">
      <c r="J947" s="34"/>
    </row>
    <row r="948" ht="15.75" customHeight="1">
      <c r="J948" s="34"/>
    </row>
    <row r="949" ht="15.75" customHeight="1">
      <c r="J949" s="34"/>
    </row>
    <row r="950" ht="15.75" customHeight="1">
      <c r="J950" s="34"/>
    </row>
    <row r="951" ht="15.75" customHeight="1">
      <c r="J951" s="34"/>
    </row>
    <row r="952" ht="15.75" customHeight="1">
      <c r="J952" s="34"/>
    </row>
    <row r="953" ht="15.75" customHeight="1">
      <c r="J953" s="34"/>
    </row>
    <row r="954" ht="15.75" customHeight="1">
      <c r="J954" s="34"/>
    </row>
    <row r="955" ht="15.75" customHeight="1">
      <c r="J955" s="34"/>
    </row>
    <row r="956" ht="15.75" customHeight="1">
      <c r="J956" s="34"/>
    </row>
    <row r="957" ht="15.75" customHeight="1">
      <c r="J957" s="34"/>
    </row>
    <row r="958" ht="15.75" customHeight="1">
      <c r="J958" s="34"/>
    </row>
    <row r="959" ht="15.75" customHeight="1">
      <c r="J959" s="34"/>
    </row>
    <row r="960" ht="15.75" customHeight="1">
      <c r="J960" s="34"/>
    </row>
    <row r="961" ht="15.75" customHeight="1">
      <c r="J961" s="34"/>
    </row>
    <row r="962" ht="15.75" customHeight="1">
      <c r="J962" s="34"/>
    </row>
    <row r="963" ht="15.75" customHeight="1">
      <c r="J963" s="34"/>
    </row>
    <row r="964" ht="15.75" customHeight="1">
      <c r="J964" s="34"/>
    </row>
    <row r="965" ht="15.75" customHeight="1">
      <c r="J965" s="34"/>
    </row>
    <row r="966" ht="15.75" customHeight="1">
      <c r="J966" s="34"/>
    </row>
    <row r="967" ht="15.75" customHeight="1">
      <c r="J967" s="34"/>
    </row>
    <row r="968" ht="15.75" customHeight="1">
      <c r="J968" s="34"/>
    </row>
    <row r="969" ht="15.75" customHeight="1">
      <c r="J969" s="34"/>
    </row>
    <row r="970" ht="15.75" customHeight="1">
      <c r="J970" s="34"/>
    </row>
    <row r="971" ht="15.75" customHeight="1">
      <c r="J971" s="34"/>
    </row>
    <row r="972" ht="15.75" customHeight="1">
      <c r="J972" s="34"/>
    </row>
    <row r="973" ht="15.75" customHeight="1">
      <c r="J973" s="34"/>
    </row>
    <row r="974" ht="15.75" customHeight="1">
      <c r="J974" s="34"/>
    </row>
    <row r="975" ht="15.75" customHeight="1">
      <c r="J975" s="34"/>
    </row>
    <row r="976" ht="15.75" customHeight="1">
      <c r="J976" s="34"/>
    </row>
    <row r="977" ht="15.75" customHeight="1">
      <c r="J977" s="34"/>
    </row>
    <row r="978" ht="15.75" customHeight="1">
      <c r="J978" s="34"/>
    </row>
    <row r="979" ht="15.75" customHeight="1">
      <c r="J979" s="34"/>
    </row>
    <row r="980" ht="15.75" customHeight="1">
      <c r="J980" s="34"/>
    </row>
    <row r="981" ht="15.75" customHeight="1">
      <c r="J981" s="34"/>
    </row>
    <row r="982" ht="15.75" customHeight="1">
      <c r="J982" s="34"/>
    </row>
    <row r="983" ht="15.75" customHeight="1">
      <c r="J983" s="34"/>
    </row>
    <row r="984" ht="15.75" customHeight="1">
      <c r="J984" s="34"/>
    </row>
    <row r="985" ht="15.75" customHeight="1">
      <c r="J985" s="34"/>
    </row>
    <row r="986" ht="15.75" customHeight="1">
      <c r="J986" s="34"/>
    </row>
    <row r="987" ht="15.75" customHeight="1">
      <c r="J987" s="34"/>
    </row>
    <row r="988" ht="15.75" customHeight="1">
      <c r="J988" s="34"/>
    </row>
    <row r="989" ht="15.75" customHeight="1">
      <c r="J989" s="34"/>
    </row>
    <row r="990" ht="15.75" customHeight="1">
      <c r="J990" s="34"/>
    </row>
    <row r="991" ht="15.75" customHeight="1">
      <c r="J991" s="34"/>
    </row>
    <row r="992" ht="15.75" customHeight="1">
      <c r="J992" s="34"/>
    </row>
    <row r="993" ht="15.75" customHeight="1">
      <c r="J993" s="34"/>
    </row>
    <row r="994" ht="15.75" customHeight="1">
      <c r="J994" s="34"/>
    </row>
    <row r="995" ht="15.75" customHeight="1">
      <c r="J995" s="34"/>
    </row>
    <row r="996" ht="15.75" customHeight="1">
      <c r="J996" s="34"/>
    </row>
    <row r="997" ht="15.75" customHeight="1">
      <c r="J997" s="34"/>
    </row>
    <row r="998" ht="15.75" customHeight="1">
      <c r="J998" s="34"/>
    </row>
    <row r="999" ht="15.75" customHeight="1">
      <c r="J999" s="34"/>
    </row>
    <row r="1000" ht="15.75" customHeight="1">
      <c r="J1000" s="34"/>
    </row>
  </sheetData>
  <autoFilter ref="$A$1:$J$170"/>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4.14"/>
    <col customWidth="1" min="3" max="3" width="22.14"/>
    <col customWidth="1" min="4" max="4" width="9.14"/>
    <col customWidth="1" min="5" max="13" width="11.14"/>
    <col customWidth="1" min="14" max="16" width="9.14"/>
    <col customWidth="1" hidden="1" min="17"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ht="15.0" customHeight="1">
      <c r="A2" s="20"/>
      <c r="B2" s="35" t="s">
        <v>214</v>
      </c>
      <c r="Q2" s="20"/>
      <c r="R2" s="20"/>
      <c r="S2" s="20"/>
      <c r="T2" s="20"/>
      <c r="U2" s="20"/>
      <c r="V2" s="20"/>
      <c r="W2" s="20"/>
      <c r="X2" s="20"/>
    </row>
    <row r="3">
      <c r="A3" s="20"/>
      <c r="B3" s="36" t="s">
        <v>215</v>
      </c>
      <c r="Q3" s="20"/>
      <c r="R3" s="20"/>
      <c r="S3" s="20"/>
      <c r="T3" s="20"/>
      <c r="U3" s="20"/>
      <c r="V3" s="20"/>
      <c r="W3" s="20"/>
      <c r="X3" s="20"/>
    </row>
    <row r="4">
      <c r="A4" s="20"/>
      <c r="C4" s="20"/>
      <c r="D4" s="20"/>
      <c r="E4" s="20"/>
      <c r="F4" s="20"/>
      <c r="G4" s="20"/>
      <c r="H4" s="20"/>
      <c r="I4" s="20"/>
      <c r="J4" s="20"/>
      <c r="K4" s="20"/>
      <c r="L4" s="20"/>
      <c r="M4" s="20"/>
      <c r="N4" s="20"/>
      <c r="O4" s="20"/>
      <c r="P4" s="20"/>
      <c r="Q4" s="20"/>
      <c r="R4" s="20"/>
      <c r="S4" s="20"/>
      <c r="T4" s="20"/>
      <c r="U4" s="20"/>
      <c r="V4" s="20"/>
      <c r="W4" s="20"/>
      <c r="X4" s="20"/>
    </row>
    <row r="5">
      <c r="A5" s="20"/>
      <c r="D5" s="20"/>
      <c r="N5" s="20"/>
      <c r="O5" s="20"/>
      <c r="P5" s="20"/>
      <c r="Q5" s="20"/>
      <c r="R5" s="20"/>
      <c r="S5" s="20"/>
      <c r="T5" s="20"/>
      <c r="U5" s="20"/>
      <c r="V5" s="20"/>
      <c r="W5" s="20"/>
      <c r="X5" s="20"/>
    </row>
    <row r="6">
      <c r="A6" s="20"/>
      <c r="D6" s="20"/>
      <c r="N6" s="20"/>
      <c r="O6" s="20"/>
      <c r="P6" s="20"/>
      <c r="Q6" s="20"/>
      <c r="R6" s="20"/>
      <c r="S6" s="20"/>
      <c r="T6" s="20"/>
      <c r="U6" s="20"/>
      <c r="V6" s="20"/>
      <c r="W6" s="20"/>
      <c r="X6" s="20"/>
    </row>
    <row r="7">
      <c r="A7" s="20"/>
      <c r="D7" s="20"/>
      <c r="N7" s="20"/>
      <c r="O7" s="20"/>
      <c r="P7" s="20"/>
      <c r="Q7" s="20"/>
      <c r="R7" s="20"/>
      <c r="S7" s="20"/>
      <c r="T7" s="20"/>
      <c r="U7" s="20"/>
      <c r="V7" s="20"/>
      <c r="W7" s="20"/>
      <c r="X7" s="20"/>
    </row>
    <row r="8">
      <c r="A8" s="20"/>
      <c r="D8" s="20"/>
      <c r="N8" s="20"/>
      <c r="O8" s="20"/>
      <c r="P8" s="20"/>
      <c r="Q8" s="20"/>
      <c r="R8" s="20"/>
      <c r="S8" s="20"/>
      <c r="T8" s="20"/>
      <c r="U8" s="20"/>
      <c r="V8" s="20"/>
      <c r="W8" s="20"/>
      <c r="X8" s="20"/>
    </row>
    <row r="9">
      <c r="A9" s="20"/>
      <c r="D9" s="20"/>
      <c r="N9" s="20"/>
      <c r="O9" s="20"/>
      <c r="P9" s="20"/>
      <c r="Q9" s="20"/>
      <c r="R9" s="20"/>
      <c r="S9" s="20"/>
      <c r="T9" s="20"/>
      <c r="U9" s="20"/>
      <c r="V9" s="20"/>
      <c r="W9" s="20"/>
      <c r="X9" s="20"/>
    </row>
    <row r="10">
      <c r="A10" s="20"/>
      <c r="D10" s="20"/>
      <c r="N10" s="20"/>
      <c r="O10" s="20"/>
      <c r="P10" s="20"/>
      <c r="Q10" s="20"/>
      <c r="R10" s="20"/>
      <c r="S10" s="20"/>
      <c r="T10" s="20"/>
      <c r="U10" s="20"/>
      <c r="V10" s="20"/>
      <c r="W10" s="20"/>
      <c r="X10" s="20"/>
    </row>
    <row r="11">
      <c r="A11" s="20"/>
      <c r="B11" s="20"/>
      <c r="C11" s="20"/>
      <c r="D11" s="20"/>
      <c r="N11" s="20"/>
      <c r="O11" s="20"/>
      <c r="P11" s="20"/>
      <c r="Q11" s="20"/>
      <c r="R11" s="20"/>
      <c r="S11" s="20"/>
      <c r="T11" s="20"/>
      <c r="U11" s="20"/>
      <c r="V11" s="20"/>
      <c r="W11" s="20"/>
      <c r="X11" s="20"/>
    </row>
    <row r="12">
      <c r="A12" s="20"/>
      <c r="B12" s="20"/>
      <c r="C12" s="20"/>
      <c r="D12" s="20"/>
      <c r="N12" s="20"/>
      <c r="O12" s="20"/>
      <c r="P12" s="20"/>
      <c r="Q12" s="20"/>
      <c r="R12" s="20"/>
      <c r="S12" s="20"/>
      <c r="T12" s="20"/>
      <c r="U12" s="20"/>
      <c r="V12" s="20"/>
      <c r="W12" s="20"/>
      <c r="X12" s="20"/>
    </row>
    <row r="13">
      <c r="A13" s="20"/>
      <c r="B13" s="20"/>
      <c r="C13" s="20"/>
      <c r="D13" s="20"/>
      <c r="N13" s="20"/>
      <c r="O13" s="20"/>
      <c r="P13" s="20"/>
      <c r="Q13" s="20"/>
      <c r="R13" s="20"/>
      <c r="S13" s="20"/>
      <c r="T13" s="20"/>
      <c r="U13" s="20"/>
      <c r="V13" s="20"/>
      <c r="W13" s="20"/>
      <c r="X13" s="20"/>
    </row>
    <row r="14">
      <c r="A14" s="20"/>
      <c r="B14" s="20"/>
      <c r="C14" s="20"/>
      <c r="D14" s="20"/>
      <c r="N14" s="20"/>
      <c r="O14" s="20"/>
      <c r="P14" s="20"/>
      <c r="Q14" s="20"/>
      <c r="R14" s="20"/>
      <c r="S14" s="20"/>
      <c r="T14" s="20"/>
      <c r="U14" s="20"/>
      <c r="V14" s="20"/>
      <c r="W14" s="20"/>
      <c r="X14" s="20"/>
    </row>
    <row r="15">
      <c r="A15" s="20"/>
      <c r="B15" s="20"/>
      <c r="C15" s="20"/>
      <c r="D15" s="20"/>
      <c r="N15" s="20"/>
      <c r="O15" s="20"/>
      <c r="P15" s="20"/>
      <c r="Q15" s="20"/>
      <c r="R15" s="20"/>
      <c r="S15" s="20"/>
      <c r="T15" s="20"/>
      <c r="U15" s="20"/>
      <c r="V15" s="20"/>
      <c r="W15" s="20"/>
      <c r="X15" s="20"/>
    </row>
    <row r="16">
      <c r="A16" s="20"/>
      <c r="B16" s="20"/>
      <c r="C16" s="20"/>
      <c r="D16" s="20"/>
      <c r="N16" s="20"/>
      <c r="O16" s="20"/>
      <c r="P16" s="20"/>
      <c r="Q16" s="20"/>
      <c r="R16" s="20"/>
      <c r="S16" s="20"/>
      <c r="T16" s="20"/>
      <c r="U16" s="20"/>
      <c r="V16" s="20"/>
      <c r="W16" s="20"/>
      <c r="X16" s="20"/>
    </row>
    <row r="17">
      <c r="A17" s="20"/>
      <c r="B17" s="20"/>
      <c r="C17" s="20"/>
      <c r="D17" s="20"/>
      <c r="N17" s="20"/>
      <c r="O17" s="20"/>
      <c r="P17" s="20"/>
      <c r="Q17" s="20"/>
      <c r="R17" s="20"/>
      <c r="S17" s="20"/>
      <c r="T17" s="20"/>
      <c r="U17" s="20"/>
      <c r="V17" s="20"/>
      <c r="W17" s="20"/>
      <c r="X17" s="20"/>
    </row>
    <row r="18">
      <c r="A18" s="20"/>
      <c r="B18" s="20"/>
      <c r="C18" s="20"/>
      <c r="D18" s="20"/>
      <c r="N18" s="20"/>
      <c r="O18" s="20"/>
      <c r="P18" s="20"/>
      <c r="Q18" s="20"/>
      <c r="R18" s="20"/>
      <c r="S18" s="20"/>
      <c r="T18" s="20"/>
      <c r="U18" s="20"/>
      <c r="V18" s="20"/>
      <c r="W18" s="20"/>
      <c r="X18" s="20"/>
    </row>
    <row r="19">
      <c r="A19" s="20"/>
      <c r="B19" s="20"/>
      <c r="C19" s="20"/>
      <c r="D19" s="20"/>
      <c r="N19" s="20"/>
      <c r="O19" s="20"/>
      <c r="P19" s="20"/>
      <c r="Q19" s="20"/>
      <c r="R19" s="20"/>
      <c r="S19" s="20"/>
      <c r="T19" s="20"/>
      <c r="U19" s="20"/>
      <c r="V19" s="20"/>
      <c r="W19" s="20"/>
      <c r="X19" s="20"/>
    </row>
    <row r="20" ht="15.75" customHeight="1">
      <c r="A20" s="20"/>
      <c r="B20" s="20"/>
      <c r="C20" s="20"/>
      <c r="D20" s="20"/>
      <c r="N20" s="20"/>
      <c r="O20" s="20"/>
      <c r="P20" s="20"/>
      <c r="Q20" s="20"/>
      <c r="R20" s="20"/>
      <c r="S20" s="20"/>
      <c r="T20" s="20"/>
      <c r="U20" s="20"/>
      <c r="V20" s="20"/>
      <c r="W20" s="20"/>
      <c r="X20" s="20"/>
    </row>
    <row r="21" ht="15.75" customHeight="1">
      <c r="A21" s="20"/>
      <c r="B21" s="20"/>
      <c r="C21" s="20"/>
      <c r="D21" s="20"/>
      <c r="N21" s="20"/>
      <c r="O21" s="20"/>
      <c r="P21" s="20"/>
      <c r="Q21" s="20"/>
      <c r="R21" s="20"/>
      <c r="S21" s="20"/>
      <c r="T21" s="20"/>
      <c r="U21" s="20"/>
      <c r="V21" s="20"/>
      <c r="W21" s="20"/>
      <c r="X21" s="20"/>
    </row>
    <row r="22" ht="15.75" customHeight="1">
      <c r="A22" s="20"/>
      <c r="B22" s="20"/>
      <c r="C22" s="20"/>
      <c r="D22" s="20"/>
      <c r="N22" s="20"/>
      <c r="O22" s="20"/>
      <c r="P22" s="20"/>
      <c r="Q22" s="20"/>
      <c r="R22" s="20"/>
      <c r="S22" s="20"/>
      <c r="T22" s="20"/>
      <c r="U22" s="20"/>
      <c r="V22" s="20"/>
      <c r="W22" s="20"/>
      <c r="X22" s="20"/>
    </row>
    <row r="23" ht="15.75" customHeight="1">
      <c r="A23" s="20"/>
      <c r="B23" s="20"/>
      <c r="C23" s="20"/>
      <c r="D23" s="20"/>
      <c r="N23" s="20"/>
      <c r="O23" s="20"/>
      <c r="P23" s="20"/>
      <c r="Q23" s="20"/>
      <c r="R23" s="20"/>
      <c r="S23" s="20"/>
      <c r="T23" s="20"/>
      <c r="U23" s="20"/>
      <c r="V23" s="20"/>
      <c r="W23" s="20"/>
      <c r="X23" s="20"/>
    </row>
    <row r="24" ht="15.75" customHeight="1">
      <c r="A24" s="20"/>
      <c r="B24" s="20"/>
      <c r="C24" s="20"/>
      <c r="D24" s="20"/>
      <c r="N24" s="20"/>
      <c r="O24" s="20"/>
      <c r="P24" s="20"/>
      <c r="Q24" s="20"/>
      <c r="R24" s="20"/>
      <c r="S24" s="20"/>
      <c r="T24" s="20"/>
      <c r="U24" s="20"/>
      <c r="V24" s="20"/>
      <c r="W24" s="20"/>
      <c r="X24" s="20"/>
    </row>
    <row r="25" ht="15.75" customHeight="1">
      <c r="A25" s="20"/>
      <c r="B25" s="20"/>
      <c r="C25" s="20"/>
      <c r="D25" s="20"/>
      <c r="N25" s="20"/>
      <c r="O25" s="20"/>
      <c r="P25" s="20"/>
      <c r="Q25" s="20"/>
      <c r="R25" s="20"/>
      <c r="S25" s="20"/>
      <c r="T25" s="20"/>
      <c r="U25" s="20"/>
      <c r="V25" s="20"/>
      <c r="W25" s="20"/>
      <c r="X25" s="20"/>
    </row>
    <row r="26" ht="15.75" customHeight="1">
      <c r="A26" s="20"/>
      <c r="B26" s="20"/>
      <c r="C26" s="20"/>
      <c r="D26" s="20"/>
      <c r="N26" s="20"/>
      <c r="O26" s="20"/>
      <c r="P26" s="20"/>
      <c r="Q26" s="20"/>
      <c r="R26" s="20"/>
      <c r="S26" s="20"/>
      <c r="T26" s="20"/>
      <c r="U26" s="20"/>
      <c r="V26" s="20"/>
      <c r="W26" s="20"/>
      <c r="X26" s="20"/>
    </row>
    <row r="27" ht="15.75" customHeight="1">
      <c r="A27" s="20"/>
      <c r="B27" s="20"/>
      <c r="C27" s="20"/>
      <c r="D27" s="20"/>
      <c r="N27" s="20"/>
      <c r="O27" s="20"/>
      <c r="P27" s="20"/>
      <c r="Q27" s="20"/>
      <c r="R27" s="20"/>
      <c r="S27" s="20"/>
      <c r="T27" s="20"/>
      <c r="U27" s="20"/>
      <c r="V27" s="20"/>
      <c r="W27" s="20"/>
      <c r="X27" s="20"/>
    </row>
    <row r="28" ht="15.75" customHeight="1">
      <c r="A28" s="20"/>
      <c r="B28" s="20"/>
      <c r="C28" s="20"/>
      <c r="D28" s="20"/>
      <c r="N28" s="20"/>
      <c r="O28" s="20"/>
      <c r="P28" s="20"/>
      <c r="Q28" s="20"/>
      <c r="R28" s="20"/>
      <c r="S28" s="20"/>
      <c r="T28" s="20"/>
      <c r="U28" s="20"/>
      <c r="V28" s="20"/>
      <c r="W28" s="20"/>
      <c r="X28" s="20"/>
    </row>
    <row r="29" ht="15.75" customHeight="1">
      <c r="A29" s="20"/>
      <c r="B29" s="20"/>
      <c r="C29" s="20"/>
      <c r="D29" s="20"/>
      <c r="N29" s="20"/>
      <c r="O29" s="20"/>
      <c r="P29" s="20"/>
      <c r="Q29" s="20"/>
      <c r="R29" s="20"/>
      <c r="S29" s="20"/>
      <c r="T29" s="20"/>
      <c r="U29" s="20"/>
      <c r="V29" s="20"/>
      <c r="W29" s="20"/>
      <c r="X29" s="20"/>
    </row>
    <row r="30" ht="15.75" customHeight="1">
      <c r="A30" s="20"/>
      <c r="B30" s="20"/>
      <c r="C30" s="20"/>
      <c r="D30" s="20"/>
      <c r="N30" s="20"/>
      <c r="O30" s="20"/>
      <c r="P30" s="20"/>
      <c r="Q30" s="20"/>
      <c r="R30" s="20"/>
      <c r="S30" s="20"/>
      <c r="T30" s="20"/>
      <c r="U30" s="20"/>
      <c r="V30" s="20"/>
      <c r="W30" s="20"/>
      <c r="X30" s="20"/>
    </row>
    <row r="31" ht="15.75" customHeight="1">
      <c r="A31" s="20"/>
      <c r="B31" s="20"/>
      <c r="C31" s="20"/>
      <c r="D31" s="20"/>
      <c r="N31" s="20"/>
      <c r="O31" s="20"/>
      <c r="P31" s="20"/>
      <c r="Q31" s="20"/>
      <c r="R31" s="20"/>
      <c r="S31" s="20"/>
      <c r="T31" s="20"/>
      <c r="U31" s="20"/>
      <c r="V31" s="20"/>
      <c r="W31" s="20"/>
      <c r="X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row>
    <row r="33" ht="15.75" customHeight="1">
      <c r="A33" s="20"/>
      <c r="B33" s="20"/>
      <c r="C33" s="20"/>
      <c r="D33" s="20"/>
      <c r="E33" s="20"/>
      <c r="F33" s="20"/>
      <c r="G33" s="20"/>
      <c r="H33" s="20"/>
      <c r="I33" s="20"/>
      <c r="J33" s="20">
        <f>SUM(J23:J27)</f>
        <v>531</v>
      </c>
      <c r="K33" s="20"/>
      <c r="L33" s="20"/>
      <c r="M33" s="20"/>
      <c r="N33" s="20"/>
      <c r="O33" s="20"/>
      <c r="P33" s="20"/>
      <c r="Q33" s="20"/>
      <c r="R33" s="20"/>
      <c r="S33" s="20"/>
      <c r="T33" s="20"/>
      <c r="U33" s="20"/>
      <c r="V33" s="20"/>
      <c r="W33" s="20"/>
      <c r="X33" s="20"/>
    </row>
    <row r="34" ht="15.75" customHeight="1">
      <c r="A34" s="20"/>
      <c r="B34" s="20"/>
      <c r="C34" s="20"/>
      <c r="D34" s="20"/>
      <c r="E34" s="20"/>
      <c r="F34" s="20"/>
      <c r="G34" s="20"/>
      <c r="H34" s="20"/>
      <c r="I34" s="20"/>
      <c r="J34" s="20">
        <f>SUM(J27:J30,K7)</f>
        <v>518</v>
      </c>
      <c r="K34" s="20"/>
      <c r="L34" s="20"/>
      <c r="M34" s="20"/>
      <c r="N34" s="20"/>
      <c r="O34" s="20"/>
      <c r="P34" s="20"/>
      <c r="Q34" s="20"/>
      <c r="R34" s="20"/>
      <c r="S34" s="20"/>
      <c r="T34" s="20"/>
      <c r="U34" s="20"/>
      <c r="V34" s="20"/>
      <c r="W34" s="20"/>
      <c r="X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B2:P2"/>
    <mergeCell ref="B3:P3"/>
  </mergeCells>
  <printOptions/>
  <pageMargins bottom="0.75" footer="0.0" header="0.0" left="0.7" right="0.7" top="0.75"/>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29"/>
    <col customWidth="1" min="3" max="3" width="14.0"/>
    <col customWidth="1" min="4" max="4" width="13.14"/>
    <col customWidth="1" min="5" max="5" width="12.86"/>
    <col customWidth="1" min="6" max="16" width="9.14"/>
    <col customWidth="1" hidden="1" min="17" max="17" width="8.86"/>
    <col customWidth="1" hidden="1" min="18"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c r="A2" s="20"/>
      <c r="B2" s="38" t="s">
        <v>6</v>
      </c>
      <c r="Q2" s="20"/>
      <c r="R2" s="20"/>
      <c r="S2" s="20"/>
      <c r="T2" s="20"/>
      <c r="U2" s="20"/>
      <c r="V2" s="20"/>
      <c r="W2" s="20"/>
      <c r="X2" s="20"/>
    </row>
    <row r="3" ht="15.75" customHeight="1">
      <c r="A3" s="20"/>
      <c r="B3" s="20"/>
      <c r="C3" s="20"/>
      <c r="D3" s="20"/>
      <c r="E3" s="20"/>
      <c r="F3" s="20"/>
      <c r="G3" s="20"/>
      <c r="H3" s="20"/>
      <c r="I3" s="20"/>
      <c r="J3" s="20"/>
      <c r="K3" s="20"/>
      <c r="L3" s="20"/>
      <c r="M3" s="20"/>
      <c r="N3" s="20"/>
      <c r="O3" s="20"/>
      <c r="P3" s="20"/>
      <c r="Q3" s="20"/>
      <c r="R3" s="20"/>
      <c r="S3" s="20"/>
      <c r="T3" s="20"/>
      <c r="U3" s="20"/>
      <c r="V3" s="20"/>
      <c r="W3" s="20"/>
      <c r="X3" s="20"/>
    </row>
    <row r="4" ht="15.75" customHeight="1">
      <c r="A4" s="20"/>
      <c r="B4" s="39" t="s">
        <v>36</v>
      </c>
      <c r="C4" s="40" t="s">
        <v>250</v>
      </c>
      <c r="D4" s="41" t="s">
        <v>251</v>
      </c>
      <c r="E4" s="20"/>
      <c r="F4" s="20"/>
      <c r="G4" s="20"/>
      <c r="H4" s="20"/>
      <c r="I4" s="20"/>
      <c r="J4" s="20"/>
      <c r="K4" s="20"/>
      <c r="L4" s="20"/>
      <c r="M4" s="20"/>
      <c r="N4" s="20"/>
      <c r="O4" s="20"/>
      <c r="P4" s="20"/>
      <c r="Q4" s="20"/>
      <c r="R4" s="20"/>
      <c r="S4" s="20"/>
      <c r="T4" s="20"/>
      <c r="U4" s="20"/>
      <c r="V4" s="20"/>
      <c r="W4" s="20"/>
      <c r="X4" s="20"/>
    </row>
    <row r="5" ht="15.75" customHeight="1">
      <c r="A5" s="20"/>
      <c r="B5" s="42" t="s">
        <v>218</v>
      </c>
      <c r="C5" s="42">
        <v>744.0</v>
      </c>
      <c r="D5" s="43">
        <v>1221.0</v>
      </c>
      <c r="E5" s="20"/>
      <c r="F5" s="20"/>
      <c r="G5" s="20"/>
      <c r="H5" s="20"/>
      <c r="I5" s="20"/>
      <c r="J5" s="20"/>
      <c r="K5" s="20"/>
      <c r="L5" s="20"/>
      <c r="M5" s="20"/>
      <c r="N5" s="20"/>
      <c r="O5" s="20"/>
      <c r="P5" s="20"/>
      <c r="Q5" s="20"/>
      <c r="R5" s="20"/>
      <c r="S5" s="20"/>
      <c r="T5" s="20"/>
      <c r="U5" s="20"/>
      <c r="V5" s="20"/>
      <c r="W5" s="20"/>
      <c r="X5" s="20"/>
    </row>
    <row r="6" ht="15.75" customHeight="1">
      <c r="A6" s="20"/>
      <c r="B6" s="42" t="s">
        <v>219</v>
      </c>
      <c r="C6" s="42">
        <v>914.0</v>
      </c>
      <c r="D6" s="43">
        <v>1477.0</v>
      </c>
      <c r="E6" s="20"/>
      <c r="F6" s="20"/>
      <c r="G6" s="20"/>
      <c r="H6" s="20"/>
      <c r="I6" s="20"/>
      <c r="J6" s="20"/>
      <c r="K6" s="20"/>
      <c r="L6" s="20"/>
      <c r="M6" s="20"/>
      <c r="N6" s="20"/>
      <c r="O6" s="20"/>
      <c r="P6" s="20"/>
      <c r="Q6" s="20"/>
      <c r="R6" s="20"/>
      <c r="S6" s="20"/>
      <c r="T6" s="20"/>
      <c r="U6" s="20"/>
      <c r="V6" s="20"/>
      <c r="W6" s="20"/>
      <c r="X6" s="20"/>
    </row>
    <row r="7" ht="15.75" customHeight="1">
      <c r="A7" s="20"/>
      <c r="B7" s="42" t="s">
        <v>220</v>
      </c>
      <c r="C7" s="42">
        <v>989.0</v>
      </c>
      <c r="D7" s="43">
        <v>1454.0</v>
      </c>
      <c r="E7" s="20"/>
      <c r="F7" s="20"/>
      <c r="G7" s="20"/>
      <c r="H7" s="20"/>
      <c r="I7" s="20"/>
      <c r="J7" s="20"/>
      <c r="K7" s="20"/>
      <c r="L7" s="20"/>
      <c r="M7" s="20"/>
      <c r="N7" s="20"/>
      <c r="O7" s="20"/>
      <c r="P7" s="20"/>
      <c r="Q7" s="20"/>
      <c r="R7" s="20"/>
      <c r="S7" s="20"/>
      <c r="T7" s="20"/>
      <c r="U7" s="20"/>
      <c r="V7" s="20"/>
      <c r="W7" s="20"/>
      <c r="X7" s="20"/>
    </row>
    <row r="8" ht="15.75" customHeight="1">
      <c r="A8" s="20"/>
      <c r="B8" s="42" t="s">
        <v>221</v>
      </c>
      <c r="C8" s="42">
        <v>859.0</v>
      </c>
      <c r="D8" s="43">
        <v>1562.0</v>
      </c>
      <c r="E8" s="20"/>
      <c r="F8" s="20"/>
      <c r="G8" s="20"/>
      <c r="H8" s="20"/>
      <c r="I8" s="20"/>
      <c r="J8" s="20"/>
      <c r="K8" s="20"/>
      <c r="L8" s="20"/>
      <c r="M8" s="20"/>
      <c r="N8" s="20"/>
      <c r="O8" s="20"/>
      <c r="P8" s="20"/>
      <c r="Q8" s="20"/>
      <c r="R8" s="20"/>
      <c r="S8" s="20"/>
      <c r="T8" s="20"/>
      <c r="U8" s="20"/>
      <c r="V8" s="20"/>
      <c r="W8" s="20"/>
      <c r="X8" s="20"/>
    </row>
    <row r="9" ht="15.75" customHeight="1">
      <c r="A9" s="20"/>
      <c r="B9" s="42" t="s">
        <v>222</v>
      </c>
      <c r="C9" s="42">
        <v>1383.0</v>
      </c>
      <c r="D9" s="43">
        <v>1300.0</v>
      </c>
      <c r="E9" s="20"/>
      <c r="F9" s="20"/>
      <c r="G9" s="20"/>
      <c r="H9" s="20"/>
      <c r="I9" s="20"/>
      <c r="J9" s="20"/>
      <c r="K9" s="20"/>
      <c r="L9" s="20"/>
      <c r="M9" s="20"/>
      <c r="N9" s="20"/>
      <c r="O9" s="20"/>
      <c r="P9" s="20"/>
      <c r="Q9" s="20"/>
      <c r="R9" s="20"/>
      <c r="S9" s="20"/>
      <c r="T9" s="20"/>
      <c r="U9" s="20"/>
      <c r="V9" s="20"/>
      <c r="W9" s="20"/>
      <c r="X9" s="20"/>
    </row>
    <row r="10" ht="15.75" customHeight="1">
      <c r="A10" s="20"/>
      <c r="B10" s="42" t="s">
        <v>223</v>
      </c>
      <c r="C10" s="42">
        <v>1142.0</v>
      </c>
      <c r="D10" s="43">
        <v>1265.0</v>
      </c>
      <c r="E10" s="20"/>
      <c r="F10" s="20"/>
      <c r="G10" s="20"/>
      <c r="H10" s="20"/>
      <c r="I10" s="20"/>
      <c r="J10" s="20"/>
      <c r="K10" s="20"/>
      <c r="L10" s="20"/>
      <c r="M10" s="20"/>
      <c r="N10" s="20"/>
      <c r="O10" s="20"/>
      <c r="P10" s="20"/>
      <c r="Q10" s="20"/>
      <c r="R10" s="20"/>
      <c r="S10" s="20"/>
      <c r="T10" s="20"/>
      <c r="U10" s="20"/>
      <c r="V10" s="20"/>
      <c r="W10" s="20"/>
      <c r="X10" s="20"/>
    </row>
    <row r="11" ht="15.75" customHeight="1">
      <c r="A11" s="20"/>
      <c r="B11" s="42" t="s">
        <v>224</v>
      </c>
      <c r="C11" s="42">
        <v>1016.0</v>
      </c>
      <c r="D11" s="43">
        <v>1167.0</v>
      </c>
      <c r="E11" s="20"/>
      <c r="F11" s="20"/>
      <c r="G11" s="20"/>
      <c r="H11" s="44"/>
      <c r="I11" s="45"/>
      <c r="J11" s="20"/>
      <c r="K11" s="20"/>
      <c r="L11" s="46"/>
      <c r="M11" s="20"/>
      <c r="N11" s="20"/>
      <c r="O11" s="20"/>
      <c r="P11" s="20"/>
      <c r="Q11" s="20"/>
      <c r="R11" s="20"/>
      <c r="S11" s="20"/>
      <c r="T11" s="20"/>
      <c r="U11" s="20"/>
      <c r="V11" s="20"/>
      <c r="W11" s="20"/>
      <c r="X11" s="20"/>
    </row>
    <row r="12" ht="15.75" customHeight="1">
      <c r="A12" s="20"/>
      <c r="B12" s="20"/>
      <c r="C12" s="20"/>
      <c r="D12" s="20"/>
      <c r="E12" s="20"/>
      <c r="F12" s="20"/>
      <c r="G12" s="20"/>
      <c r="H12" s="44"/>
      <c r="I12" s="45"/>
      <c r="J12" s="20"/>
      <c r="K12" s="20"/>
      <c r="L12" s="46"/>
      <c r="M12" s="20"/>
      <c r="N12" s="20"/>
      <c r="O12" s="20"/>
      <c r="P12" s="20"/>
      <c r="Q12" s="20"/>
      <c r="R12" s="20"/>
      <c r="S12" s="20"/>
      <c r="T12" s="20"/>
      <c r="U12" s="20"/>
      <c r="V12" s="20"/>
      <c r="W12" s="20"/>
      <c r="X12" s="20"/>
    </row>
    <row r="13" ht="15.75" customHeight="1">
      <c r="A13" s="20"/>
      <c r="B13" s="20"/>
      <c r="C13" s="20"/>
      <c r="D13" s="20"/>
      <c r="E13" s="20"/>
      <c r="F13" s="20"/>
      <c r="G13" s="20"/>
      <c r="H13" s="44"/>
      <c r="I13" s="45"/>
      <c r="J13" s="20"/>
      <c r="K13" s="20"/>
      <c r="L13" s="46"/>
      <c r="M13" s="20"/>
      <c r="N13" s="20"/>
      <c r="O13" s="20"/>
      <c r="P13" s="20"/>
      <c r="Q13" s="20"/>
      <c r="R13" s="20"/>
      <c r="S13" s="20"/>
      <c r="T13" s="20"/>
      <c r="U13" s="20"/>
      <c r="V13" s="20"/>
      <c r="W13" s="20"/>
      <c r="X13" s="20"/>
    </row>
    <row r="14" ht="15.75" customHeight="1">
      <c r="A14" s="20"/>
      <c r="B14" s="20"/>
      <c r="C14" s="20"/>
      <c r="D14" s="20"/>
      <c r="E14" s="20"/>
      <c r="F14" s="20"/>
      <c r="G14" s="20"/>
      <c r="H14" s="44"/>
      <c r="I14" s="45"/>
      <c r="J14" s="20"/>
      <c r="K14" s="20"/>
      <c r="L14" s="46"/>
      <c r="M14" s="20"/>
      <c r="N14" s="20"/>
      <c r="O14" s="20"/>
      <c r="P14" s="20"/>
      <c r="Q14" s="20"/>
      <c r="R14" s="20"/>
      <c r="S14" s="20"/>
      <c r="T14" s="20"/>
      <c r="U14" s="20"/>
      <c r="V14" s="20"/>
      <c r="W14" s="20"/>
      <c r="X14" s="20"/>
    </row>
    <row r="15" ht="15.75" customHeight="1">
      <c r="A15" s="20"/>
      <c r="B15" s="20"/>
      <c r="C15" s="20"/>
      <c r="D15" s="20"/>
      <c r="E15" s="20"/>
      <c r="F15" s="20"/>
      <c r="G15" s="20"/>
      <c r="H15" s="44"/>
      <c r="I15" s="45"/>
      <c r="J15" s="20"/>
      <c r="K15" s="20"/>
      <c r="L15" s="46"/>
      <c r="M15" s="20"/>
      <c r="N15" s="20"/>
      <c r="O15" s="20"/>
      <c r="P15" s="20"/>
      <c r="Q15" s="20"/>
      <c r="R15" s="20"/>
      <c r="S15" s="20"/>
      <c r="T15" s="20"/>
      <c r="U15" s="20"/>
      <c r="V15" s="20"/>
      <c r="W15" s="20"/>
      <c r="X15" s="20"/>
    </row>
    <row r="16" ht="15.75" customHeight="1">
      <c r="A16" s="20"/>
      <c r="B16" s="20"/>
      <c r="C16" s="20"/>
      <c r="D16" s="20"/>
      <c r="E16" s="20"/>
      <c r="F16" s="20"/>
      <c r="G16" s="20"/>
      <c r="H16" s="44"/>
      <c r="I16" s="45"/>
      <c r="J16" s="20"/>
      <c r="K16" s="20"/>
      <c r="L16" s="46"/>
      <c r="M16" s="20"/>
      <c r="N16" s="20"/>
      <c r="O16" s="20"/>
      <c r="P16" s="20"/>
      <c r="Q16" s="20"/>
      <c r="R16" s="20"/>
      <c r="S16" s="20"/>
      <c r="T16" s="20"/>
      <c r="U16" s="20"/>
      <c r="V16" s="20"/>
      <c r="W16" s="20"/>
      <c r="X16" s="20"/>
    </row>
    <row r="17" ht="15.75" customHeight="1">
      <c r="A17" s="20"/>
      <c r="B17" s="20"/>
      <c r="C17" s="20"/>
      <c r="D17" s="20"/>
      <c r="E17" s="20"/>
      <c r="F17" s="20"/>
      <c r="G17" s="20"/>
      <c r="H17" s="44"/>
      <c r="I17" s="45"/>
      <c r="J17" s="20"/>
      <c r="K17" s="20"/>
      <c r="L17" s="46"/>
      <c r="M17" s="20"/>
      <c r="N17" s="20"/>
      <c r="O17" s="20"/>
      <c r="P17" s="20"/>
      <c r="Q17" s="20"/>
      <c r="R17" s="20"/>
      <c r="S17" s="20"/>
      <c r="T17" s="20"/>
      <c r="U17" s="20"/>
      <c r="V17" s="20"/>
      <c r="W17" s="20"/>
      <c r="X17" s="20"/>
    </row>
    <row r="18" ht="15.75" customHeight="1">
      <c r="A18" s="20"/>
      <c r="B18" s="20"/>
      <c r="C18" s="20"/>
      <c r="D18" s="20"/>
      <c r="E18" s="20"/>
      <c r="F18" s="20"/>
      <c r="G18" s="20"/>
      <c r="H18" s="44"/>
      <c r="I18" s="45"/>
      <c r="J18" s="20"/>
      <c r="K18" s="20"/>
      <c r="L18" s="46"/>
      <c r="M18" s="20"/>
      <c r="N18" s="20"/>
      <c r="O18" s="20"/>
      <c r="P18" s="20"/>
      <c r="Q18" s="20"/>
      <c r="R18" s="20"/>
      <c r="S18" s="20"/>
      <c r="T18" s="20"/>
      <c r="U18" s="20"/>
      <c r="V18" s="20"/>
      <c r="W18" s="20"/>
      <c r="X18" s="20"/>
    </row>
    <row r="19" ht="15.75" customHeight="1">
      <c r="A19" s="20"/>
      <c r="B19" s="20"/>
      <c r="C19" s="20"/>
      <c r="D19" s="20"/>
      <c r="E19" s="20"/>
      <c r="F19" s="20"/>
      <c r="G19" s="20"/>
      <c r="H19" s="44"/>
      <c r="I19" s="45"/>
      <c r="J19" s="20"/>
      <c r="K19" s="20"/>
      <c r="L19" s="46"/>
      <c r="M19" s="20"/>
      <c r="N19" s="20"/>
      <c r="O19" s="20"/>
      <c r="P19" s="20"/>
      <c r="Q19" s="20"/>
      <c r="R19" s="20"/>
      <c r="S19" s="20"/>
      <c r="T19" s="20"/>
      <c r="U19" s="20"/>
      <c r="V19" s="20"/>
      <c r="W19" s="20"/>
      <c r="X19" s="20"/>
    </row>
    <row r="20" ht="15.75" customHeight="1">
      <c r="A20" s="20"/>
      <c r="B20" s="20"/>
      <c r="C20" s="20"/>
      <c r="D20" s="20"/>
      <c r="E20" s="20"/>
      <c r="F20" s="20"/>
      <c r="G20" s="20"/>
      <c r="H20" s="44"/>
      <c r="I20" s="45"/>
      <c r="J20" s="20"/>
      <c r="K20" s="20"/>
      <c r="L20" s="46"/>
      <c r="M20" s="20"/>
      <c r="N20" s="20"/>
      <c r="O20" s="20"/>
      <c r="P20" s="20"/>
      <c r="Q20" s="20"/>
      <c r="R20" s="20"/>
      <c r="S20" s="20"/>
      <c r="T20" s="20"/>
      <c r="U20" s="20"/>
      <c r="V20" s="20"/>
      <c r="W20" s="20"/>
      <c r="X20" s="20"/>
    </row>
    <row r="21" ht="15.75" customHeight="1">
      <c r="A21" s="20"/>
      <c r="B21" s="20"/>
      <c r="C21" s="20"/>
      <c r="D21" s="20"/>
      <c r="E21" s="20"/>
      <c r="F21" s="20"/>
      <c r="G21" s="20"/>
      <c r="H21" s="44"/>
      <c r="I21" s="45"/>
      <c r="J21" s="20"/>
      <c r="K21" s="20"/>
      <c r="L21" s="46"/>
      <c r="M21" s="47"/>
      <c r="N21" s="20"/>
      <c r="O21" s="20"/>
      <c r="P21" s="20"/>
      <c r="Q21" s="20"/>
      <c r="R21" s="20"/>
      <c r="S21" s="20"/>
      <c r="T21" s="20"/>
      <c r="U21" s="20"/>
      <c r="V21" s="20"/>
      <c r="W21" s="20"/>
      <c r="X21" s="20"/>
    </row>
    <row r="22" ht="15.75" customHeight="1">
      <c r="A22" s="20"/>
      <c r="B22" s="20"/>
      <c r="C22" s="20"/>
      <c r="D22" s="20"/>
      <c r="E22" s="20"/>
      <c r="F22" s="20"/>
      <c r="G22" s="20"/>
      <c r="H22" s="44"/>
      <c r="I22" s="45"/>
      <c r="J22" s="20"/>
      <c r="K22" s="20"/>
      <c r="L22" s="20"/>
      <c r="M22" s="20"/>
      <c r="N22" s="20"/>
      <c r="O22" s="20"/>
      <c r="P22" s="20"/>
      <c r="Q22" s="20"/>
      <c r="R22" s="20"/>
      <c r="S22" s="20"/>
      <c r="T22" s="20"/>
      <c r="U22" s="20"/>
      <c r="V22" s="20"/>
      <c r="W22" s="20"/>
      <c r="X22" s="20"/>
    </row>
    <row r="23" ht="15.75" customHeight="1">
      <c r="A23" s="20"/>
      <c r="B23" s="20"/>
      <c r="C23" s="20"/>
      <c r="D23" s="20"/>
      <c r="E23" s="20"/>
      <c r="F23" s="20"/>
      <c r="G23" s="20"/>
      <c r="H23" s="44"/>
      <c r="I23" s="45"/>
      <c r="J23" s="20"/>
      <c r="K23" s="20"/>
      <c r="L23" s="20"/>
      <c r="M23" s="20"/>
      <c r="N23" s="20"/>
      <c r="O23" s="20"/>
      <c r="P23" s="20"/>
      <c r="Q23" s="20"/>
      <c r="R23" s="20"/>
      <c r="S23" s="20"/>
      <c r="T23" s="20"/>
      <c r="U23" s="20"/>
      <c r="V23" s="20"/>
      <c r="W23" s="20"/>
      <c r="X23" s="20"/>
    </row>
    <row r="24" ht="15.75" customHeight="1">
      <c r="A24" s="20"/>
      <c r="B24" s="20"/>
      <c r="C24" s="20"/>
      <c r="D24" s="20"/>
      <c r="E24" s="20"/>
      <c r="F24" s="20"/>
      <c r="G24" s="20"/>
      <c r="H24" s="44"/>
      <c r="I24" s="45"/>
      <c r="J24" s="20"/>
      <c r="K24" s="20"/>
      <c r="L24" s="20"/>
      <c r="M24" s="20"/>
      <c r="N24" s="20"/>
      <c r="O24" s="20"/>
      <c r="P24" s="20"/>
      <c r="Q24" s="20"/>
      <c r="R24" s="20"/>
      <c r="S24" s="20"/>
      <c r="T24" s="20"/>
      <c r="U24" s="20"/>
      <c r="V24" s="20"/>
      <c r="W24" s="20"/>
      <c r="X24" s="20"/>
    </row>
    <row r="25" ht="15.75" customHeight="1">
      <c r="A25" s="20"/>
      <c r="B25" s="20"/>
      <c r="C25" s="20"/>
      <c r="D25" s="20"/>
      <c r="E25" s="20"/>
      <c r="F25" s="20"/>
      <c r="G25" s="20"/>
      <c r="H25" s="44"/>
      <c r="I25" s="45"/>
      <c r="J25" s="20"/>
      <c r="K25" s="20"/>
      <c r="L25" s="20"/>
      <c r="M25" s="20"/>
      <c r="N25" s="20"/>
      <c r="O25" s="20"/>
      <c r="P25" s="20"/>
      <c r="Q25" s="20"/>
      <c r="R25" s="20"/>
      <c r="S25" s="20"/>
      <c r="T25" s="20"/>
      <c r="U25" s="20"/>
      <c r="V25" s="20"/>
      <c r="W25" s="20"/>
      <c r="X25" s="20"/>
    </row>
    <row r="26" ht="15.75" customHeight="1">
      <c r="A26" s="20"/>
      <c r="B26" s="20"/>
      <c r="C26" s="20"/>
      <c r="D26" s="20"/>
      <c r="E26" s="20"/>
      <c r="F26" s="20"/>
      <c r="G26" s="20"/>
      <c r="H26" s="44"/>
      <c r="I26" s="45"/>
      <c r="J26" s="20"/>
      <c r="K26" s="20"/>
      <c r="L26" s="20"/>
      <c r="M26" s="20"/>
      <c r="N26" s="20"/>
      <c r="O26" s="20"/>
      <c r="P26" s="20"/>
      <c r="Q26" s="20"/>
      <c r="R26" s="20"/>
      <c r="S26" s="20"/>
      <c r="T26" s="20"/>
      <c r="U26" s="20"/>
      <c r="V26" s="20"/>
      <c r="W26" s="20"/>
      <c r="X26" s="20"/>
    </row>
    <row r="27" ht="15.75" customHeight="1">
      <c r="A27" s="20"/>
      <c r="B27" s="20"/>
      <c r="C27" s="20"/>
      <c r="D27" s="20"/>
      <c r="E27" s="20"/>
      <c r="F27" s="20"/>
      <c r="G27" s="20"/>
      <c r="H27" s="44"/>
      <c r="I27" s="45"/>
      <c r="J27" s="20"/>
      <c r="K27" s="20"/>
      <c r="L27" s="20"/>
      <c r="M27" s="20"/>
      <c r="N27" s="20"/>
      <c r="O27" s="20"/>
      <c r="P27" s="20"/>
      <c r="Q27" s="20"/>
      <c r="R27" s="20"/>
      <c r="S27" s="20"/>
      <c r="T27" s="20"/>
      <c r="U27" s="20"/>
      <c r="V27" s="20"/>
      <c r="W27" s="20"/>
      <c r="X27" s="20"/>
    </row>
    <row r="28" ht="15.75" customHeight="1">
      <c r="A28" s="20"/>
      <c r="B28" s="20"/>
      <c r="C28" s="20"/>
      <c r="D28" s="20"/>
      <c r="E28" s="20"/>
      <c r="F28" s="20"/>
      <c r="G28" s="20"/>
      <c r="H28" s="44"/>
      <c r="I28" s="45"/>
      <c r="J28" s="20"/>
      <c r="K28" s="20"/>
      <c r="L28" s="20"/>
      <c r="M28" s="20"/>
      <c r="N28" s="20"/>
      <c r="O28" s="20"/>
      <c r="P28" s="20"/>
      <c r="Q28" s="20"/>
      <c r="R28" s="20"/>
      <c r="S28" s="20"/>
      <c r="T28" s="20"/>
      <c r="U28" s="20"/>
      <c r="V28" s="20"/>
      <c r="W28" s="20"/>
      <c r="X28" s="20"/>
    </row>
    <row r="29" ht="15.75" customHeight="1">
      <c r="A29" s="20"/>
      <c r="B29" s="20"/>
      <c r="C29" s="20"/>
      <c r="D29" s="20"/>
      <c r="E29" s="20"/>
      <c r="F29" s="20"/>
      <c r="G29" s="20"/>
      <c r="H29" s="44"/>
      <c r="I29" s="45"/>
      <c r="J29" s="20"/>
      <c r="K29" s="20"/>
      <c r="L29" s="20"/>
      <c r="M29" s="20"/>
      <c r="N29" s="20"/>
      <c r="O29" s="20"/>
      <c r="P29" s="20"/>
      <c r="Q29" s="20"/>
      <c r="R29" s="20"/>
      <c r="S29" s="20"/>
      <c r="T29" s="20"/>
      <c r="U29" s="20"/>
      <c r="V29" s="20"/>
      <c r="W29" s="20"/>
      <c r="X29" s="20"/>
    </row>
    <row r="30" ht="15.75" customHeight="1">
      <c r="A30" s="20"/>
      <c r="B30" s="20"/>
      <c r="C30" s="20"/>
      <c r="D30" s="20"/>
      <c r="E30" s="20"/>
      <c r="F30" s="20"/>
      <c r="G30" s="20"/>
      <c r="H30" s="44"/>
      <c r="I30" s="45"/>
      <c r="J30" s="20"/>
      <c r="K30" s="20"/>
      <c r="L30" s="20"/>
      <c r="M30" s="20"/>
      <c r="N30" s="20"/>
      <c r="O30" s="20"/>
      <c r="P30" s="20"/>
      <c r="Q30" s="20"/>
      <c r="R30" s="20"/>
      <c r="S30" s="20"/>
      <c r="T30" s="20"/>
      <c r="U30" s="20"/>
      <c r="V30" s="20"/>
      <c r="W30" s="20"/>
      <c r="X30" s="20"/>
    </row>
    <row r="31" ht="15.75" customHeight="1">
      <c r="A31" s="20"/>
      <c r="B31" s="20"/>
      <c r="C31" s="20"/>
      <c r="D31" s="20"/>
      <c r="E31" s="20"/>
      <c r="F31" s="20"/>
      <c r="G31" s="20"/>
      <c r="H31" s="44"/>
      <c r="I31" s="45"/>
      <c r="J31" s="20"/>
      <c r="K31" s="20"/>
      <c r="L31" s="20"/>
      <c r="M31" s="20"/>
      <c r="N31" s="20"/>
      <c r="O31" s="20"/>
      <c r="P31" s="20"/>
      <c r="Q31" s="20"/>
      <c r="R31" s="20"/>
      <c r="S31" s="20"/>
      <c r="T31" s="20"/>
      <c r="U31" s="20"/>
      <c r="V31" s="20"/>
      <c r="W31" s="20"/>
      <c r="X31" s="20"/>
    </row>
    <row r="32" ht="15.75" customHeight="1">
      <c r="A32" s="20"/>
      <c r="B32" s="20"/>
      <c r="C32" s="20"/>
      <c r="D32" s="20"/>
      <c r="E32" s="20"/>
      <c r="F32" s="20"/>
      <c r="G32" s="20"/>
      <c r="H32" s="44"/>
      <c r="I32" s="45"/>
      <c r="J32" s="20"/>
      <c r="K32" s="20"/>
      <c r="L32" s="20"/>
      <c r="M32" s="20"/>
      <c r="N32" s="20"/>
      <c r="O32" s="20"/>
      <c r="P32" s="20"/>
      <c r="Q32" s="20"/>
      <c r="R32" s="20"/>
      <c r="S32" s="20"/>
      <c r="T32" s="20"/>
      <c r="U32" s="20"/>
      <c r="V32" s="20"/>
      <c r="W32" s="20"/>
      <c r="X32" s="20"/>
    </row>
    <row r="33" ht="15.75" customHeight="1">
      <c r="A33" s="20"/>
      <c r="B33" s="20"/>
      <c r="C33" s="20"/>
      <c r="D33" s="20"/>
      <c r="E33" s="20"/>
      <c r="F33" s="20"/>
      <c r="G33" s="20"/>
      <c r="H33" s="44"/>
      <c r="I33" s="45"/>
      <c r="J33" s="20"/>
      <c r="K33" s="20"/>
      <c r="L33" s="20"/>
      <c r="M33" s="20"/>
      <c r="N33" s="20"/>
      <c r="O33" s="20"/>
      <c r="P33" s="20"/>
      <c r="Q33" s="20"/>
      <c r="R33" s="20"/>
      <c r="S33" s="20"/>
      <c r="T33" s="20"/>
      <c r="U33" s="20"/>
      <c r="V33" s="20"/>
      <c r="W33" s="20"/>
      <c r="X33" s="20"/>
    </row>
    <row r="34" ht="15.75" customHeight="1">
      <c r="A34" s="20"/>
      <c r="B34" s="20"/>
      <c r="C34" s="20"/>
      <c r="D34" s="20"/>
      <c r="E34" s="20"/>
      <c r="F34" s="20"/>
      <c r="G34" s="20"/>
      <c r="H34" s="44"/>
      <c r="I34" s="45"/>
      <c r="J34" s="20"/>
      <c r="K34" s="20"/>
      <c r="L34" s="20"/>
      <c r="M34" s="20"/>
      <c r="N34" s="20"/>
      <c r="O34" s="20"/>
      <c r="P34" s="20"/>
      <c r="Q34" s="20"/>
      <c r="R34" s="20"/>
      <c r="S34" s="20"/>
      <c r="T34" s="20"/>
      <c r="U34" s="20"/>
      <c r="V34" s="20"/>
      <c r="W34" s="20"/>
      <c r="X34" s="20"/>
    </row>
    <row r="35" ht="15.75" customHeight="1">
      <c r="A35" s="20"/>
      <c r="B35" s="20"/>
      <c r="C35" s="20"/>
      <c r="D35" s="20"/>
      <c r="E35" s="20"/>
      <c r="F35" s="20"/>
      <c r="G35" s="20"/>
      <c r="H35" s="44"/>
      <c r="I35" s="45"/>
      <c r="J35" s="20"/>
      <c r="K35" s="20"/>
      <c r="L35" s="20"/>
      <c r="M35" s="20"/>
      <c r="N35" s="20"/>
      <c r="O35" s="20"/>
      <c r="P35" s="20"/>
      <c r="Q35" s="20"/>
      <c r="R35" s="20"/>
      <c r="S35" s="20"/>
      <c r="T35" s="20"/>
      <c r="U35" s="20"/>
      <c r="V35" s="20"/>
      <c r="W35" s="20"/>
      <c r="X35" s="20"/>
    </row>
    <row r="36" ht="15.75" customHeight="1">
      <c r="A36" s="20"/>
      <c r="B36" s="20"/>
      <c r="C36" s="20"/>
      <c r="D36" s="20"/>
      <c r="E36" s="20"/>
      <c r="F36" s="20"/>
      <c r="G36" s="20"/>
      <c r="H36" s="44"/>
      <c r="I36" s="45"/>
      <c r="J36" s="20"/>
      <c r="K36" s="20"/>
      <c r="L36" s="20"/>
      <c r="M36" s="20"/>
      <c r="N36" s="20"/>
      <c r="O36" s="20"/>
      <c r="P36" s="20"/>
      <c r="Q36" s="20"/>
      <c r="R36" s="20"/>
      <c r="S36" s="20"/>
      <c r="T36" s="20"/>
      <c r="U36" s="20"/>
      <c r="V36" s="20"/>
      <c r="W36" s="20"/>
      <c r="X36" s="20"/>
    </row>
    <row r="37" ht="15.75" customHeight="1">
      <c r="A37" s="20"/>
      <c r="B37" s="20"/>
      <c r="C37" s="20"/>
      <c r="D37" s="20"/>
      <c r="E37" s="20"/>
      <c r="F37" s="20"/>
      <c r="G37" s="20"/>
      <c r="H37" s="44"/>
      <c r="I37" s="45"/>
      <c r="J37" s="20"/>
      <c r="K37" s="20"/>
      <c r="L37" s="20"/>
      <c r="M37" s="20"/>
      <c r="N37" s="20"/>
      <c r="O37" s="20"/>
      <c r="P37" s="20"/>
      <c r="Q37" s="20"/>
      <c r="R37" s="20"/>
      <c r="S37" s="20"/>
      <c r="T37" s="20"/>
      <c r="U37" s="20"/>
      <c r="V37" s="20"/>
      <c r="W37" s="20"/>
      <c r="X37" s="20"/>
    </row>
    <row r="38" ht="15.75" customHeight="1">
      <c r="A38" s="20"/>
      <c r="B38" s="20"/>
      <c r="C38" s="20"/>
      <c r="D38" s="20"/>
      <c r="E38" s="20"/>
      <c r="F38" s="20"/>
      <c r="G38" s="20"/>
      <c r="H38" s="44"/>
      <c r="I38" s="45"/>
      <c r="J38" s="20"/>
      <c r="K38" s="20"/>
      <c r="L38" s="20"/>
      <c r="M38" s="20"/>
      <c r="N38" s="20"/>
      <c r="O38" s="20"/>
      <c r="P38" s="20"/>
      <c r="Q38" s="20"/>
      <c r="R38" s="20"/>
      <c r="S38" s="20"/>
      <c r="T38" s="20"/>
      <c r="U38" s="20"/>
      <c r="V38" s="20"/>
      <c r="W38" s="20"/>
      <c r="X38" s="20"/>
    </row>
    <row r="39" ht="15.75" customHeight="1">
      <c r="A39" s="20"/>
      <c r="B39" s="20"/>
      <c r="C39" s="20"/>
      <c r="D39" s="20"/>
      <c r="E39" s="20"/>
      <c r="F39" s="20"/>
      <c r="G39" s="20"/>
      <c r="H39" s="44"/>
      <c r="I39" s="45"/>
      <c r="J39" s="20"/>
      <c r="K39" s="20"/>
      <c r="L39" s="20"/>
      <c r="M39" s="20"/>
      <c r="N39" s="20"/>
      <c r="O39" s="20"/>
      <c r="P39" s="20"/>
      <c r="Q39" s="20"/>
      <c r="R39" s="20"/>
      <c r="S39" s="20"/>
      <c r="T39" s="20"/>
      <c r="U39" s="20"/>
      <c r="V39" s="20"/>
      <c r="W39" s="20"/>
      <c r="X39" s="20"/>
    </row>
    <row r="40" ht="15.75" customHeight="1">
      <c r="A40" s="20"/>
      <c r="B40" s="20"/>
      <c r="C40" s="20"/>
      <c r="D40" s="20"/>
      <c r="E40" s="20"/>
      <c r="F40" s="20"/>
      <c r="G40" s="20"/>
      <c r="H40" s="44"/>
      <c r="I40" s="45"/>
      <c r="J40" s="20"/>
      <c r="K40" s="20"/>
      <c r="L40" s="20"/>
      <c r="M40" s="20"/>
      <c r="N40" s="20"/>
      <c r="O40" s="20"/>
      <c r="P40" s="20"/>
      <c r="Q40" s="20"/>
      <c r="R40" s="20"/>
      <c r="S40" s="20"/>
      <c r="T40" s="20"/>
      <c r="U40" s="20"/>
      <c r="V40" s="20"/>
      <c r="W40" s="20"/>
      <c r="X40" s="20"/>
    </row>
    <row r="41" ht="15.75" customHeight="1">
      <c r="A41" s="20"/>
      <c r="B41" s="20"/>
      <c r="C41" s="20"/>
      <c r="D41" s="20"/>
      <c r="E41" s="20"/>
      <c r="F41" s="20"/>
      <c r="G41" s="20"/>
      <c r="H41" s="44"/>
      <c r="I41" s="45"/>
      <c r="J41" s="20"/>
      <c r="K41" s="20"/>
      <c r="L41" s="20"/>
      <c r="M41" s="20"/>
      <c r="N41" s="20"/>
      <c r="O41" s="20"/>
      <c r="P41" s="20"/>
      <c r="Q41" s="20"/>
      <c r="R41" s="20"/>
      <c r="S41" s="20"/>
      <c r="T41" s="20"/>
      <c r="U41" s="20"/>
      <c r="V41" s="20"/>
      <c r="W41" s="20"/>
      <c r="X41" s="20"/>
    </row>
    <row r="42" ht="15.75" customHeight="1">
      <c r="A42" s="20"/>
      <c r="B42" s="20"/>
      <c r="C42" s="20"/>
      <c r="D42" s="20"/>
      <c r="E42" s="20"/>
      <c r="F42" s="20"/>
      <c r="G42" s="20"/>
      <c r="H42" s="44"/>
      <c r="I42" s="45"/>
      <c r="J42" s="20"/>
      <c r="K42" s="20"/>
      <c r="L42" s="20"/>
      <c r="M42" s="20"/>
      <c r="N42" s="20"/>
      <c r="O42" s="20"/>
      <c r="P42" s="20"/>
      <c r="Q42" s="20"/>
      <c r="R42" s="20"/>
      <c r="S42" s="20"/>
      <c r="T42" s="20"/>
      <c r="U42" s="20"/>
      <c r="V42" s="20"/>
      <c r="W42" s="20"/>
      <c r="X42" s="20"/>
    </row>
    <row r="43" ht="15.75" customHeight="1">
      <c r="A43" s="20"/>
      <c r="B43" s="20"/>
      <c r="C43" s="20"/>
      <c r="D43" s="20"/>
      <c r="E43" s="20"/>
      <c r="F43" s="20"/>
      <c r="G43" s="20"/>
      <c r="H43" s="44"/>
      <c r="I43" s="45"/>
      <c r="J43" s="20"/>
      <c r="K43" s="20"/>
      <c r="L43" s="20"/>
      <c r="M43" s="20"/>
      <c r="N43" s="20"/>
      <c r="O43" s="20"/>
      <c r="P43" s="20"/>
      <c r="Q43" s="20"/>
      <c r="R43" s="20"/>
      <c r="S43" s="20"/>
      <c r="T43" s="20"/>
      <c r="U43" s="20"/>
      <c r="V43" s="20"/>
      <c r="W43" s="20"/>
      <c r="X43" s="20"/>
    </row>
    <row r="44" ht="15.75" customHeight="1">
      <c r="A44" s="20"/>
      <c r="B44" s="20"/>
      <c r="C44" s="20"/>
      <c r="D44" s="20"/>
      <c r="E44" s="20"/>
      <c r="F44" s="20"/>
      <c r="G44" s="20"/>
      <c r="H44" s="44"/>
      <c r="I44" s="45"/>
      <c r="J44" s="20"/>
      <c r="K44" s="20"/>
      <c r="L44" s="20"/>
      <c r="M44" s="20"/>
      <c r="N44" s="20"/>
      <c r="O44" s="20"/>
      <c r="P44" s="20"/>
      <c r="Q44" s="20"/>
      <c r="R44" s="20"/>
      <c r="S44" s="20"/>
      <c r="T44" s="20"/>
      <c r="U44" s="20"/>
      <c r="V44" s="20"/>
      <c r="W44" s="20"/>
      <c r="X44" s="20"/>
    </row>
    <row r="45" ht="15.75" customHeight="1">
      <c r="A45" s="20"/>
      <c r="B45" s="20"/>
      <c r="C45" s="20"/>
      <c r="D45" s="20"/>
      <c r="E45" s="20"/>
      <c r="F45" s="20"/>
      <c r="G45" s="20"/>
      <c r="H45" s="44"/>
      <c r="I45" s="45"/>
      <c r="J45" s="20"/>
      <c r="K45" s="20"/>
      <c r="L45" s="20"/>
      <c r="M45" s="20"/>
      <c r="N45" s="20"/>
      <c r="O45" s="20"/>
      <c r="P45" s="20"/>
      <c r="Q45" s="20"/>
      <c r="R45" s="20"/>
      <c r="S45" s="20"/>
      <c r="T45" s="20"/>
      <c r="U45" s="20"/>
      <c r="V45" s="20"/>
      <c r="W45" s="20"/>
      <c r="X45" s="20"/>
    </row>
    <row r="46" ht="15.75" customHeight="1">
      <c r="A46" s="20"/>
      <c r="B46" s="20"/>
      <c r="C46" s="20"/>
      <c r="D46" s="20"/>
      <c r="E46" s="20"/>
      <c r="F46" s="20"/>
      <c r="G46" s="20"/>
      <c r="H46" s="44"/>
      <c r="I46" s="45"/>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44"/>
      <c r="I47" s="45"/>
      <c r="J47" s="20"/>
      <c r="K47" s="20"/>
      <c r="L47" s="20"/>
      <c r="M47" s="20"/>
      <c r="N47" s="20"/>
      <c r="O47" s="20"/>
      <c r="P47" s="20"/>
      <c r="Q47" s="20"/>
      <c r="R47" s="20"/>
      <c r="S47" s="20"/>
      <c r="T47" s="20"/>
      <c r="U47" s="20"/>
      <c r="V47" s="20"/>
      <c r="W47" s="20"/>
      <c r="X47" s="20"/>
    </row>
    <row r="48" ht="15.75" customHeight="1">
      <c r="A48" s="20"/>
      <c r="B48" s="20"/>
      <c r="C48" s="20"/>
      <c r="D48" s="20"/>
      <c r="E48" s="20"/>
      <c r="F48" s="20"/>
      <c r="G48" s="20"/>
      <c r="H48" s="44"/>
      <c r="I48" s="45"/>
      <c r="J48" s="20"/>
      <c r="K48" s="20"/>
      <c r="L48" s="20"/>
      <c r="M48" s="20"/>
      <c r="N48" s="20"/>
      <c r="O48" s="20"/>
      <c r="P48" s="20"/>
      <c r="Q48" s="20"/>
      <c r="R48" s="20"/>
      <c r="S48" s="20"/>
      <c r="T48" s="20"/>
      <c r="U48" s="20"/>
      <c r="V48" s="20"/>
      <c r="W48" s="20"/>
      <c r="X48" s="20"/>
    </row>
    <row r="49" ht="15.75" customHeight="1">
      <c r="A49" s="20"/>
      <c r="B49" s="20"/>
      <c r="C49" s="20"/>
      <c r="D49" s="20"/>
      <c r="E49" s="20"/>
      <c r="F49" s="20"/>
      <c r="G49" s="20"/>
      <c r="H49" s="44"/>
      <c r="I49" s="45"/>
      <c r="J49" s="20"/>
      <c r="K49" s="20"/>
      <c r="L49" s="20"/>
      <c r="M49" s="20"/>
      <c r="N49" s="20"/>
      <c r="O49" s="20"/>
      <c r="P49" s="20"/>
      <c r="Q49" s="20"/>
      <c r="R49" s="20"/>
      <c r="S49" s="20"/>
      <c r="T49" s="20"/>
      <c r="U49" s="20"/>
      <c r="V49" s="20"/>
      <c r="W49" s="20"/>
      <c r="X49" s="20"/>
    </row>
    <row r="50" ht="15.75" customHeight="1">
      <c r="A50" s="20"/>
      <c r="B50" s="20"/>
      <c r="C50" s="20"/>
      <c r="D50" s="20"/>
      <c r="E50" s="20"/>
      <c r="F50" s="20"/>
      <c r="G50" s="20"/>
      <c r="H50" s="44"/>
      <c r="I50" s="45"/>
      <c r="J50" s="20"/>
      <c r="K50" s="20"/>
      <c r="L50" s="20"/>
      <c r="M50" s="20"/>
      <c r="N50" s="20"/>
      <c r="O50" s="20"/>
      <c r="P50" s="20"/>
      <c r="Q50" s="20"/>
      <c r="R50" s="20"/>
      <c r="S50" s="20"/>
      <c r="T50" s="20"/>
      <c r="U50" s="20"/>
      <c r="V50" s="20"/>
      <c r="W50" s="20"/>
      <c r="X50" s="20"/>
    </row>
    <row r="51" ht="15.75" customHeight="1">
      <c r="A51" s="20"/>
      <c r="B51" s="20"/>
      <c r="C51" s="20"/>
      <c r="D51" s="20"/>
      <c r="E51" s="20"/>
      <c r="F51" s="20"/>
      <c r="G51" s="20"/>
      <c r="H51" s="44"/>
      <c r="I51" s="45"/>
      <c r="J51" s="20"/>
      <c r="K51" s="20"/>
      <c r="L51" s="20"/>
      <c r="M51" s="20"/>
      <c r="N51" s="20"/>
      <c r="O51" s="20"/>
      <c r="P51" s="20"/>
      <c r="Q51" s="20"/>
      <c r="R51" s="20"/>
      <c r="S51" s="20"/>
      <c r="T51" s="20"/>
      <c r="U51" s="20"/>
      <c r="V51" s="20"/>
      <c r="W51" s="20"/>
      <c r="X51" s="20"/>
    </row>
    <row r="52" ht="15.75" customHeight="1">
      <c r="A52" s="20"/>
      <c r="B52" s="20"/>
      <c r="C52" s="20"/>
      <c r="D52" s="20"/>
      <c r="E52" s="20"/>
      <c r="F52" s="20"/>
      <c r="G52" s="20"/>
      <c r="H52" s="44"/>
      <c r="I52" s="45"/>
      <c r="J52" s="20"/>
      <c r="K52" s="20"/>
      <c r="L52" s="20"/>
      <c r="M52" s="20"/>
      <c r="N52" s="20"/>
      <c r="O52" s="20"/>
      <c r="P52" s="20"/>
      <c r="Q52" s="20"/>
      <c r="R52" s="20"/>
      <c r="S52" s="20"/>
      <c r="T52" s="20"/>
      <c r="U52" s="20"/>
      <c r="V52" s="20"/>
      <c r="W52" s="20"/>
      <c r="X52" s="20"/>
    </row>
    <row r="53" ht="15.75" customHeight="1">
      <c r="A53" s="20"/>
      <c r="B53" s="20"/>
      <c r="C53" s="20"/>
      <c r="D53" s="20"/>
      <c r="E53" s="20"/>
      <c r="F53" s="20"/>
      <c r="G53" s="20"/>
      <c r="H53" s="44"/>
      <c r="I53" s="45"/>
      <c r="J53" s="20"/>
      <c r="K53" s="20"/>
      <c r="L53" s="20"/>
      <c r="M53" s="20"/>
      <c r="N53" s="20"/>
      <c r="O53" s="20"/>
      <c r="P53" s="20"/>
      <c r="Q53" s="20"/>
      <c r="R53" s="20"/>
      <c r="S53" s="20"/>
      <c r="T53" s="20"/>
      <c r="U53" s="20"/>
      <c r="V53" s="20"/>
      <c r="W53" s="20"/>
      <c r="X53" s="20"/>
    </row>
    <row r="54" ht="15.75" customHeight="1">
      <c r="A54" s="20"/>
      <c r="B54" s="20"/>
      <c r="C54" s="20"/>
      <c r="D54" s="20"/>
      <c r="E54" s="20"/>
      <c r="F54" s="20"/>
      <c r="G54" s="20"/>
      <c r="H54" s="44"/>
      <c r="I54" s="45"/>
      <c r="J54" s="20"/>
      <c r="K54" s="20"/>
      <c r="L54" s="20"/>
      <c r="M54" s="20"/>
      <c r="N54" s="20"/>
      <c r="O54" s="20"/>
      <c r="P54" s="20"/>
      <c r="Q54" s="20"/>
      <c r="R54" s="20"/>
      <c r="S54" s="20"/>
      <c r="T54" s="20"/>
      <c r="U54" s="20"/>
      <c r="V54" s="20"/>
      <c r="W54" s="20"/>
      <c r="X54" s="20"/>
    </row>
    <row r="55" ht="15.75" customHeight="1">
      <c r="A55" s="20"/>
      <c r="B55" s="20"/>
      <c r="C55" s="20"/>
      <c r="D55" s="20"/>
      <c r="E55" s="20"/>
      <c r="F55" s="20"/>
      <c r="G55" s="20"/>
      <c r="H55" s="44"/>
      <c r="I55" s="45"/>
      <c r="J55" s="20"/>
      <c r="K55" s="20"/>
      <c r="L55" s="20"/>
      <c r="M55" s="20"/>
      <c r="N55" s="20"/>
      <c r="O55" s="20"/>
      <c r="P55" s="20"/>
      <c r="Q55" s="20"/>
      <c r="R55" s="20"/>
      <c r="S55" s="20"/>
      <c r="T55" s="20"/>
      <c r="U55" s="20"/>
      <c r="V55" s="20"/>
      <c r="W55" s="20"/>
      <c r="X55" s="20"/>
    </row>
    <row r="56" ht="15.75" customHeight="1">
      <c r="A56" s="20"/>
      <c r="B56" s="20"/>
      <c r="C56" s="20"/>
      <c r="D56" s="20"/>
      <c r="E56" s="20"/>
      <c r="F56" s="20"/>
      <c r="G56" s="20"/>
      <c r="H56" s="44"/>
      <c r="I56" s="45"/>
      <c r="J56" s="20"/>
      <c r="K56" s="20"/>
      <c r="L56" s="20"/>
      <c r="M56" s="20"/>
      <c r="N56" s="20"/>
      <c r="O56" s="20"/>
      <c r="P56" s="20"/>
      <c r="Q56" s="20"/>
      <c r="R56" s="20"/>
      <c r="S56" s="20"/>
      <c r="T56" s="20"/>
      <c r="U56" s="20"/>
      <c r="V56" s="20"/>
      <c r="W56" s="20"/>
      <c r="X56" s="20"/>
    </row>
    <row r="57" ht="15.75" customHeight="1">
      <c r="A57" s="20"/>
      <c r="B57" s="20"/>
      <c r="C57" s="20"/>
      <c r="D57" s="20"/>
      <c r="E57" s="20"/>
      <c r="F57" s="20"/>
      <c r="G57" s="20"/>
      <c r="H57" s="44"/>
      <c r="I57" s="45"/>
      <c r="J57" s="20"/>
      <c r="K57" s="20"/>
      <c r="L57" s="20"/>
      <c r="M57" s="20"/>
      <c r="N57" s="20"/>
      <c r="O57" s="20"/>
      <c r="P57" s="20"/>
      <c r="Q57" s="20"/>
      <c r="R57" s="20"/>
      <c r="S57" s="20"/>
      <c r="T57" s="20"/>
      <c r="U57" s="20"/>
      <c r="V57" s="20"/>
      <c r="W57" s="20"/>
      <c r="X57" s="20"/>
    </row>
    <row r="58" ht="15.75" customHeight="1">
      <c r="A58" s="20"/>
      <c r="B58" s="20"/>
      <c r="C58" s="20"/>
      <c r="D58" s="20"/>
      <c r="E58" s="20"/>
      <c r="F58" s="20"/>
      <c r="G58" s="20"/>
      <c r="H58" s="44"/>
      <c r="I58" s="45"/>
      <c r="J58" s="20"/>
      <c r="K58" s="20"/>
      <c r="L58" s="20"/>
      <c r="M58" s="20"/>
      <c r="N58" s="20"/>
      <c r="O58" s="20"/>
      <c r="P58" s="20"/>
      <c r="Q58" s="20"/>
      <c r="R58" s="20"/>
      <c r="S58" s="20"/>
      <c r="T58" s="20"/>
      <c r="U58" s="20"/>
      <c r="V58" s="20"/>
      <c r="W58" s="20"/>
      <c r="X58" s="20"/>
    </row>
    <row r="59" ht="15.75" customHeight="1">
      <c r="A59" s="20"/>
      <c r="B59" s="20"/>
      <c r="C59" s="20"/>
      <c r="D59" s="20"/>
      <c r="E59" s="20"/>
      <c r="F59" s="20"/>
      <c r="G59" s="20"/>
      <c r="H59" s="44"/>
      <c r="I59" s="45"/>
      <c r="J59" s="20"/>
      <c r="K59" s="20"/>
      <c r="L59" s="20"/>
      <c r="M59" s="20"/>
      <c r="N59" s="20"/>
      <c r="O59" s="20"/>
      <c r="P59" s="20"/>
      <c r="Q59" s="20"/>
      <c r="R59" s="20"/>
      <c r="S59" s="20"/>
      <c r="T59" s="20"/>
      <c r="U59" s="20"/>
      <c r="V59" s="20"/>
      <c r="W59" s="20"/>
      <c r="X59" s="20"/>
    </row>
    <row r="60" ht="15.75" customHeight="1">
      <c r="A60" s="20"/>
      <c r="B60" s="20"/>
      <c r="C60" s="20"/>
      <c r="D60" s="20"/>
      <c r="E60" s="20"/>
      <c r="F60" s="20"/>
      <c r="G60" s="20"/>
      <c r="H60" s="44"/>
      <c r="I60" s="45"/>
      <c r="J60" s="20"/>
      <c r="K60" s="20"/>
      <c r="L60" s="20"/>
      <c r="M60" s="20"/>
      <c r="N60" s="20"/>
      <c r="O60" s="20"/>
      <c r="P60" s="20"/>
      <c r="Q60" s="20"/>
      <c r="R60" s="20"/>
      <c r="S60" s="20"/>
      <c r="T60" s="20"/>
      <c r="U60" s="20"/>
      <c r="V60" s="20"/>
      <c r="W60" s="20"/>
      <c r="X60" s="20"/>
    </row>
    <row r="61" ht="15.75" customHeight="1">
      <c r="A61" s="20"/>
      <c r="B61" s="20"/>
      <c r="C61" s="20"/>
      <c r="D61" s="20"/>
      <c r="E61" s="20"/>
      <c r="F61" s="20"/>
      <c r="G61" s="20"/>
      <c r="H61" s="44"/>
      <c r="I61" s="45"/>
      <c r="J61" s="20"/>
      <c r="K61" s="20"/>
      <c r="L61" s="20"/>
      <c r="M61" s="20"/>
      <c r="N61" s="20"/>
      <c r="O61" s="20"/>
      <c r="P61" s="20"/>
      <c r="Q61" s="20"/>
      <c r="R61" s="20"/>
      <c r="S61" s="20"/>
      <c r="T61" s="20"/>
      <c r="U61" s="20"/>
      <c r="V61" s="20"/>
      <c r="W61" s="20"/>
      <c r="X61" s="20"/>
    </row>
    <row r="62" ht="15.75" customHeight="1">
      <c r="A62" s="20"/>
      <c r="B62" s="20"/>
      <c r="C62" s="20"/>
      <c r="D62" s="20"/>
      <c r="E62" s="20"/>
      <c r="F62" s="20"/>
      <c r="G62" s="20"/>
      <c r="H62" s="44"/>
      <c r="I62" s="45"/>
      <c r="J62" s="20"/>
      <c r="K62" s="20"/>
      <c r="L62" s="20"/>
      <c r="M62" s="20"/>
      <c r="N62" s="20"/>
      <c r="O62" s="20"/>
      <c r="P62" s="20"/>
      <c r="Q62" s="20"/>
      <c r="R62" s="20"/>
      <c r="S62" s="20"/>
      <c r="T62" s="20"/>
      <c r="U62" s="20"/>
      <c r="V62" s="20"/>
      <c r="W62" s="20"/>
      <c r="X62" s="20"/>
    </row>
    <row r="63" ht="15.75" customHeight="1">
      <c r="A63" s="20"/>
      <c r="B63" s="20"/>
      <c r="C63" s="20"/>
      <c r="D63" s="20"/>
      <c r="E63" s="20"/>
      <c r="F63" s="20"/>
      <c r="G63" s="20"/>
      <c r="H63" s="44"/>
      <c r="I63" s="45"/>
      <c r="J63" s="20"/>
      <c r="K63" s="20"/>
      <c r="L63" s="20"/>
      <c r="M63" s="20"/>
      <c r="N63" s="20"/>
      <c r="O63" s="20"/>
      <c r="P63" s="20"/>
      <c r="Q63" s="20"/>
      <c r="R63" s="20"/>
      <c r="S63" s="20"/>
      <c r="T63" s="20"/>
      <c r="U63" s="20"/>
      <c r="V63" s="20"/>
      <c r="W63" s="20"/>
      <c r="X63" s="20"/>
    </row>
    <row r="64" ht="15.75" customHeight="1">
      <c r="A64" s="20"/>
      <c r="B64" s="20"/>
      <c r="C64" s="20"/>
      <c r="D64" s="20"/>
      <c r="E64" s="20"/>
      <c r="F64" s="20"/>
      <c r="G64" s="20"/>
      <c r="H64" s="44"/>
      <c r="I64" s="45"/>
      <c r="J64" s="20"/>
      <c r="K64" s="20"/>
      <c r="L64" s="20"/>
      <c r="M64" s="20"/>
      <c r="N64" s="20"/>
      <c r="O64" s="20"/>
      <c r="P64" s="20"/>
      <c r="Q64" s="20"/>
      <c r="R64" s="20"/>
      <c r="S64" s="20"/>
      <c r="T64" s="20"/>
      <c r="U64" s="20"/>
      <c r="V64" s="20"/>
      <c r="W64" s="20"/>
      <c r="X64" s="20"/>
    </row>
    <row r="65" ht="15.75" customHeight="1">
      <c r="A65" s="20"/>
      <c r="B65" s="20"/>
      <c r="C65" s="20"/>
      <c r="D65" s="20"/>
      <c r="E65" s="20"/>
      <c r="F65" s="20"/>
      <c r="G65" s="20"/>
      <c r="H65" s="44"/>
      <c r="I65" s="45"/>
      <c r="J65" s="20"/>
      <c r="K65" s="20"/>
      <c r="L65" s="20"/>
      <c r="M65" s="20"/>
      <c r="N65" s="20"/>
      <c r="O65" s="20"/>
      <c r="P65" s="20"/>
      <c r="Q65" s="20"/>
      <c r="R65" s="20"/>
      <c r="S65" s="20"/>
      <c r="T65" s="20"/>
      <c r="U65" s="20"/>
      <c r="V65" s="20"/>
      <c r="W65" s="20"/>
      <c r="X65" s="20"/>
    </row>
    <row r="66" ht="15.75" customHeight="1">
      <c r="A66" s="20"/>
      <c r="B66" s="20"/>
      <c r="C66" s="20"/>
      <c r="D66" s="20"/>
      <c r="E66" s="20"/>
      <c r="F66" s="20"/>
      <c r="G66" s="20"/>
      <c r="H66" s="44"/>
      <c r="I66" s="45"/>
      <c r="J66" s="20"/>
      <c r="K66" s="20"/>
      <c r="L66" s="20"/>
      <c r="M66" s="20"/>
      <c r="N66" s="20"/>
      <c r="O66" s="20"/>
      <c r="P66" s="20"/>
      <c r="Q66" s="20"/>
      <c r="R66" s="20"/>
      <c r="S66" s="20"/>
      <c r="T66" s="20"/>
      <c r="U66" s="20"/>
      <c r="V66" s="20"/>
      <c r="W66" s="20"/>
      <c r="X66" s="20"/>
    </row>
    <row r="67" ht="15.75" customHeight="1">
      <c r="A67" s="20"/>
      <c r="B67" s="20"/>
      <c r="C67" s="20"/>
      <c r="D67" s="20"/>
      <c r="E67" s="20"/>
      <c r="F67" s="20"/>
      <c r="G67" s="20"/>
      <c r="H67" s="44"/>
      <c r="I67" s="45"/>
      <c r="J67" s="20"/>
      <c r="K67" s="20"/>
      <c r="L67" s="20"/>
      <c r="M67" s="20"/>
      <c r="N67" s="20"/>
      <c r="O67" s="20"/>
      <c r="P67" s="20"/>
      <c r="Q67" s="20"/>
      <c r="R67" s="20"/>
      <c r="S67" s="20"/>
      <c r="T67" s="20"/>
      <c r="U67" s="20"/>
      <c r="V67" s="20"/>
      <c r="W67" s="20"/>
      <c r="X67" s="20"/>
    </row>
    <row r="68" ht="15.75" customHeight="1">
      <c r="A68" s="20"/>
      <c r="B68" s="20"/>
      <c r="C68" s="20"/>
      <c r="D68" s="20"/>
      <c r="E68" s="20"/>
      <c r="F68" s="20"/>
      <c r="G68" s="20"/>
      <c r="H68" s="44"/>
      <c r="I68" s="45"/>
      <c r="J68" s="20"/>
      <c r="K68" s="20"/>
      <c r="L68" s="20"/>
      <c r="M68" s="20"/>
      <c r="N68" s="20"/>
      <c r="O68" s="20"/>
      <c r="P68" s="20"/>
      <c r="Q68" s="20"/>
      <c r="R68" s="20"/>
      <c r="S68" s="20"/>
      <c r="T68" s="20"/>
      <c r="U68" s="20"/>
      <c r="V68" s="20"/>
      <c r="W68" s="20"/>
      <c r="X68" s="20"/>
    </row>
    <row r="69" ht="15.75" customHeight="1">
      <c r="A69" s="20"/>
      <c r="B69" s="20"/>
      <c r="C69" s="20"/>
      <c r="D69" s="20"/>
      <c r="E69" s="20"/>
      <c r="F69" s="20"/>
      <c r="G69" s="20"/>
      <c r="H69" s="44"/>
      <c r="I69" s="45"/>
      <c r="J69" s="20"/>
      <c r="K69" s="20"/>
      <c r="L69" s="20"/>
      <c r="M69" s="20"/>
      <c r="N69" s="20"/>
      <c r="O69" s="20"/>
      <c r="P69" s="20"/>
      <c r="Q69" s="20"/>
      <c r="R69" s="20"/>
      <c r="S69" s="20"/>
      <c r="T69" s="20"/>
      <c r="U69" s="20"/>
      <c r="V69" s="20"/>
      <c r="W69" s="20"/>
      <c r="X69" s="20"/>
    </row>
    <row r="70" ht="15.75" customHeight="1">
      <c r="A70" s="20"/>
      <c r="B70" s="20"/>
      <c r="C70" s="20"/>
      <c r="D70" s="20"/>
      <c r="E70" s="20"/>
      <c r="F70" s="20"/>
      <c r="G70" s="20"/>
      <c r="H70" s="44"/>
      <c r="I70" s="45"/>
      <c r="J70" s="20"/>
      <c r="K70" s="20"/>
      <c r="L70" s="20"/>
      <c r="M70" s="20"/>
      <c r="N70" s="20"/>
      <c r="O70" s="20"/>
      <c r="P70" s="20"/>
      <c r="Q70" s="20"/>
      <c r="R70" s="20"/>
      <c r="S70" s="20"/>
      <c r="T70" s="20"/>
      <c r="U70" s="20"/>
      <c r="V70" s="20"/>
      <c r="W70" s="20"/>
      <c r="X70" s="20"/>
    </row>
    <row r="71" ht="15.75" customHeight="1">
      <c r="A71" s="20"/>
      <c r="B71" s="20"/>
      <c r="C71" s="20"/>
      <c r="D71" s="20"/>
      <c r="E71" s="20"/>
      <c r="F71" s="20"/>
      <c r="G71" s="20"/>
      <c r="H71" s="44"/>
      <c r="I71" s="45"/>
      <c r="J71" s="20"/>
      <c r="K71" s="20"/>
      <c r="L71" s="20"/>
      <c r="M71" s="20"/>
      <c r="N71" s="20"/>
      <c r="O71" s="20"/>
      <c r="P71" s="20"/>
      <c r="Q71" s="20"/>
      <c r="R71" s="20"/>
      <c r="S71" s="20"/>
      <c r="T71" s="20"/>
      <c r="U71" s="20"/>
      <c r="V71" s="20"/>
      <c r="W71" s="20"/>
      <c r="X71" s="20"/>
    </row>
    <row r="72" ht="15.75" customHeight="1">
      <c r="A72" s="20"/>
      <c r="B72" s="20"/>
      <c r="C72" s="20"/>
      <c r="D72" s="20"/>
      <c r="E72" s="20"/>
      <c r="F72" s="20"/>
      <c r="G72" s="20"/>
      <c r="H72" s="44"/>
      <c r="I72" s="45"/>
      <c r="J72" s="20"/>
      <c r="K72" s="20"/>
      <c r="L72" s="20"/>
      <c r="M72" s="20"/>
      <c r="N72" s="20"/>
      <c r="O72" s="20"/>
      <c r="P72" s="20"/>
      <c r="Q72" s="20"/>
      <c r="R72" s="20"/>
      <c r="S72" s="20"/>
      <c r="T72" s="20"/>
      <c r="U72" s="20"/>
      <c r="V72" s="20"/>
      <c r="W72" s="20"/>
      <c r="X72" s="20"/>
    </row>
    <row r="73" ht="15.75" customHeight="1">
      <c r="A73" s="20"/>
      <c r="B73" s="20"/>
      <c r="C73" s="20"/>
      <c r="D73" s="20"/>
      <c r="E73" s="20"/>
      <c r="F73" s="20"/>
      <c r="G73" s="20"/>
      <c r="H73" s="44"/>
      <c r="I73" s="45"/>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44"/>
      <c r="I74" s="45"/>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44"/>
      <c r="I75" s="45"/>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44"/>
      <c r="I76" s="45"/>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44"/>
      <c r="I77" s="45"/>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44"/>
      <c r="I78" s="45"/>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44"/>
      <c r="I79" s="45"/>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44"/>
      <c r="I80" s="45"/>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44"/>
      <c r="I81" s="45"/>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44"/>
      <c r="I82" s="45"/>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44"/>
      <c r="I83" s="45"/>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44"/>
      <c r="I84" s="45"/>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44"/>
      <c r="I85" s="45"/>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44"/>
      <c r="I86" s="45"/>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44"/>
      <c r="I87" s="45"/>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44"/>
      <c r="I88" s="45"/>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44"/>
      <c r="I89" s="45"/>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44"/>
      <c r="I90" s="45"/>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44"/>
      <c r="I91" s="45"/>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44"/>
      <c r="I92" s="45"/>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44"/>
      <c r="I93" s="45"/>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44"/>
      <c r="I94" s="45"/>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44"/>
      <c r="I95" s="45"/>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44"/>
      <c r="I96" s="45"/>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44"/>
      <c r="I97" s="45"/>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44"/>
      <c r="I98" s="45"/>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44"/>
      <c r="I99" s="45"/>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44"/>
      <c r="I100" s="45"/>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44"/>
      <c r="I101" s="45"/>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44"/>
      <c r="I102" s="45"/>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44"/>
      <c r="I103" s="45"/>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44"/>
      <c r="I104" s="45"/>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44"/>
      <c r="I105" s="45"/>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44"/>
      <c r="I106" s="45"/>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44"/>
      <c r="I107" s="45"/>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44"/>
      <c r="I108" s="45"/>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44"/>
      <c r="I109" s="45"/>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44"/>
      <c r="I110" s="45"/>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44"/>
      <c r="I111" s="45"/>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44"/>
      <c r="I112" s="45"/>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44"/>
      <c r="I113" s="45"/>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44"/>
      <c r="I114" s="45"/>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44"/>
      <c r="I115" s="45"/>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44"/>
      <c r="I116" s="45"/>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44"/>
      <c r="I117" s="45"/>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44"/>
      <c r="I118" s="45"/>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44"/>
      <c r="I119" s="45"/>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44"/>
      <c r="I120" s="45"/>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44"/>
      <c r="I121" s="45"/>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44"/>
      <c r="I122" s="45"/>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44"/>
      <c r="I123" s="45"/>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44"/>
      <c r="I124" s="45"/>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44"/>
      <c r="I125" s="45"/>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44"/>
      <c r="I126" s="45"/>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44"/>
      <c r="I127" s="45"/>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44"/>
      <c r="I128" s="45"/>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44"/>
      <c r="I129" s="45"/>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44"/>
      <c r="I130" s="45"/>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44"/>
      <c r="I131" s="45"/>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44"/>
      <c r="I132" s="45"/>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44"/>
      <c r="I133" s="45"/>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44"/>
      <c r="I134" s="45"/>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44"/>
      <c r="I135" s="45"/>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44"/>
      <c r="I136" s="45"/>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44"/>
      <c r="I137" s="45"/>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44"/>
      <c r="I138" s="45"/>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44"/>
      <c r="I139" s="45"/>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44"/>
      <c r="I140" s="45"/>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44"/>
      <c r="I141" s="45"/>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44"/>
      <c r="I142" s="45"/>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44"/>
      <c r="I143" s="45"/>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44"/>
      <c r="I144" s="45"/>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44"/>
      <c r="I145" s="45"/>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44"/>
      <c r="I146" s="45"/>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44"/>
      <c r="I147" s="45"/>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44"/>
      <c r="I148" s="45"/>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44"/>
      <c r="I149" s="45"/>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44"/>
      <c r="I150" s="45"/>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44"/>
      <c r="I151" s="45"/>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44"/>
      <c r="I152" s="45"/>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44"/>
      <c r="I153" s="45"/>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1">
    <mergeCell ref="B2:P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3.86"/>
    <col customWidth="1" min="3" max="9" width="11.29"/>
    <col customWidth="1" min="10" max="16" width="9.14"/>
    <col customWidth="1" hidden="1" min="17" max="18" width="9.14"/>
    <col customWidth="1" hidden="1" min="19"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ht="30.0" customHeight="1">
      <c r="A2" s="20"/>
      <c r="B2" s="48" t="s">
        <v>252</v>
      </c>
      <c r="Q2" s="20"/>
      <c r="R2" s="20"/>
      <c r="S2" s="20"/>
      <c r="T2" s="20"/>
      <c r="U2" s="20"/>
      <c r="V2" s="20"/>
      <c r="W2" s="20"/>
      <c r="X2" s="20"/>
    </row>
    <row r="3">
      <c r="A3" s="20"/>
      <c r="B3" s="47"/>
      <c r="C3" s="20"/>
      <c r="D3" s="20"/>
      <c r="E3" s="20"/>
      <c r="F3" s="20"/>
      <c r="G3" s="20"/>
      <c r="H3" s="20"/>
      <c r="I3" s="20"/>
      <c r="J3" s="20"/>
      <c r="K3" s="20"/>
      <c r="L3" s="20"/>
      <c r="M3" s="20"/>
      <c r="N3" s="20"/>
      <c r="O3" s="20"/>
      <c r="P3" s="20"/>
      <c r="Q3" s="20"/>
      <c r="R3" s="20"/>
      <c r="S3" s="20"/>
      <c r="T3" s="20"/>
      <c r="U3" s="20"/>
      <c r="V3" s="20"/>
      <c r="W3" s="20"/>
      <c r="X3" s="20"/>
    </row>
    <row r="4">
      <c r="A4" s="20"/>
      <c r="J4" s="20"/>
      <c r="K4" s="49"/>
      <c r="L4" s="20"/>
      <c r="M4" s="38"/>
      <c r="N4" s="20"/>
      <c r="O4" s="20"/>
      <c r="P4" s="20"/>
      <c r="Q4" s="20"/>
      <c r="R4" s="20"/>
      <c r="S4" s="20"/>
      <c r="T4" s="20"/>
      <c r="U4" s="20"/>
      <c r="V4" s="20"/>
      <c r="W4" s="20"/>
      <c r="X4" s="20"/>
    </row>
    <row r="5">
      <c r="A5" s="20"/>
      <c r="J5" s="20"/>
      <c r="K5" s="20"/>
      <c r="L5" s="20"/>
      <c r="M5" s="20"/>
      <c r="N5" s="20"/>
      <c r="O5" s="20"/>
      <c r="P5" s="20"/>
      <c r="Q5" s="20"/>
      <c r="R5" s="20"/>
      <c r="S5" s="20"/>
      <c r="T5" s="20"/>
      <c r="U5" s="20"/>
      <c r="V5" s="20"/>
      <c r="W5" s="20"/>
      <c r="X5" s="20"/>
    </row>
    <row r="6">
      <c r="A6" s="20"/>
      <c r="J6" s="20"/>
      <c r="K6" s="20"/>
      <c r="L6" s="46"/>
      <c r="M6" s="20"/>
      <c r="N6" s="20"/>
      <c r="O6" s="20"/>
      <c r="P6" s="20"/>
      <c r="Q6" s="20"/>
      <c r="R6" s="20"/>
      <c r="S6" s="20"/>
      <c r="T6" s="20"/>
      <c r="U6" s="20"/>
      <c r="V6" s="20"/>
      <c r="W6" s="20"/>
      <c r="X6" s="20"/>
    </row>
    <row r="7">
      <c r="A7" s="20"/>
      <c r="J7" s="20"/>
      <c r="K7" s="20"/>
      <c r="L7" s="46"/>
      <c r="M7" s="20"/>
      <c r="N7" s="20"/>
      <c r="O7" s="20"/>
      <c r="P7" s="20"/>
      <c r="Q7" s="20"/>
      <c r="R7" s="20"/>
      <c r="S7" s="20"/>
      <c r="T7" s="20"/>
      <c r="U7" s="20"/>
      <c r="V7" s="20"/>
      <c r="W7" s="20"/>
      <c r="X7" s="20"/>
    </row>
    <row r="8">
      <c r="A8" s="20"/>
      <c r="J8" s="20"/>
      <c r="K8" s="20"/>
      <c r="L8" s="46"/>
      <c r="M8" s="20"/>
      <c r="N8" s="20"/>
      <c r="O8" s="20"/>
      <c r="P8" s="20"/>
      <c r="Q8" s="20"/>
      <c r="R8" s="20"/>
      <c r="S8" s="20"/>
      <c r="T8" s="20"/>
      <c r="U8" s="20"/>
      <c r="V8" s="20"/>
      <c r="W8" s="20"/>
      <c r="X8" s="20"/>
    </row>
    <row r="9">
      <c r="A9" s="20"/>
      <c r="J9" s="20"/>
      <c r="K9" s="20"/>
      <c r="L9" s="46"/>
      <c r="M9" s="28"/>
      <c r="N9" s="20"/>
      <c r="O9" s="20"/>
      <c r="P9" s="20"/>
      <c r="Q9" s="20"/>
      <c r="R9" s="20"/>
      <c r="S9" s="20"/>
      <c r="T9" s="20"/>
      <c r="U9" s="20"/>
      <c r="V9" s="20"/>
      <c r="W9" s="20"/>
      <c r="X9" s="20"/>
    </row>
    <row r="10">
      <c r="A10" s="20"/>
      <c r="J10" s="20"/>
      <c r="K10" s="20"/>
      <c r="L10" s="46"/>
      <c r="M10" s="47"/>
      <c r="N10" s="20"/>
      <c r="O10" s="20"/>
      <c r="P10" s="20"/>
      <c r="Q10" s="20"/>
      <c r="R10" s="20"/>
      <c r="S10" s="20"/>
      <c r="T10" s="20"/>
      <c r="U10" s="20"/>
      <c r="V10" s="20"/>
      <c r="W10" s="20"/>
      <c r="X10" s="20"/>
    </row>
    <row r="11">
      <c r="A11" s="20"/>
      <c r="J11" s="20"/>
      <c r="K11" s="20"/>
      <c r="L11" s="46"/>
      <c r="M11" s="20"/>
      <c r="N11" s="20"/>
      <c r="O11" s="20"/>
      <c r="P11" s="20"/>
      <c r="Q11" s="20"/>
      <c r="R11" s="20"/>
      <c r="S11" s="20"/>
      <c r="T11" s="20"/>
      <c r="U11" s="20"/>
      <c r="V11" s="20"/>
      <c r="W11" s="20"/>
      <c r="X11" s="20"/>
    </row>
    <row r="12">
      <c r="A12" s="20"/>
      <c r="J12" s="20"/>
      <c r="K12" s="20"/>
      <c r="L12" s="46"/>
      <c r="M12" s="20"/>
      <c r="N12" s="20"/>
      <c r="O12" s="20"/>
      <c r="P12" s="20"/>
      <c r="Q12" s="20"/>
      <c r="R12" s="20"/>
      <c r="S12" s="20"/>
      <c r="T12" s="20"/>
      <c r="U12" s="20"/>
      <c r="V12" s="20"/>
      <c r="W12" s="20"/>
      <c r="X12" s="20"/>
    </row>
    <row r="13">
      <c r="A13" s="20"/>
      <c r="J13" s="20"/>
      <c r="K13" s="20"/>
      <c r="L13" s="46"/>
      <c r="M13" s="20"/>
      <c r="N13" s="20"/>
      <c r="O13" s="20"/>
      <c r="P13" s="20"/>
      <c r="Q13" s="20"/>
      <c r="R13" s="20"/>
      <c r="S13" s="20"/>
      <c r="T13" s="20"/>
      <c r="U13" s="20"/>
      <c r="V13" s="20"/>
      <c r="W13" s="20"/>
      <c r="X13" s="20"/>
    </row>
    <row r="14">
      <c r="A14" s="20"/>
      <c r="J14" s="20"/>
      <c r="K14" s="20"/>
      <c r="L14" s="46"/>
      <c r="M14" s="20"/>
      <c r="N14" s="20"/>
      <c r="O14" s="20"/>
      <c r="P14" s="20"/>
      <c r="Q14" s="20"/>
      <c r="R14" s="20"/>
      <c r="S14" s="20"/>
      <c r="T14" s="20"/>
      <c r="U14" s="20"/>
      <c r="V14" s="20"/>
      <c r="W14" s="20"/>
      <c r="X14" s="20"/>
    </row>
    <row r="15">
      <c r="A15" s="20"/>
      <c r="J15" s="20"/>
      <c r="K15" s="20"/>
      <c r="L15" s="46"/>
      <c r="M15" s="20"/>
      <c r="N15" s="20"/>
      <c r="O15" s="20"/>
      <c r="P15" s="20"/>
      <c r="Q15" s="20"/>
      <c r="R15" s="20"/>
      <c r="S15" s="20"/>
      <c r="T15" s="20"/>
      <c r="U15" s="20"/>
      <c r="V15" s="20"/>
      <c r="W15" s="20"/>
      <c r="X15" s="20"/>
    </row>
    <row r="16">
      <c r="A16" s="20"/>
      <c r="J16" s="20"/>
      <c r="K16" s="20"/>
      <c r="L16" s="46"/>
      <c r="M16" s="20"/>
      <c r="N16" s="20"/>
      <c r="O16" s="20"/>
      <c r="P16" s="20"/>
      <c r="Q16" s="20"/>
      <c r="R16" s="20"/>
      <c r="S16" s="20"/>
      <c r="T16" s="20"/>
      <c r="U16" s="20"/>
      <c r="V16" s="20"/>
      <c r="W16" s="20"/>
      <c r="X16" s="20"/>
    </row>
    <row r="17">
      <c r="A17" s="20"/>
      <c r="J17" s="20"/>
      <c r="K17" s="20"/>
      <c r="L17" s="46"/>
      <c r="M17" s="20"/>
      <c r="N17" s="20"/>
      <c r="O17" s="20"/>
      <c r="P17" s="20"/>
      <c r="Q17" s="20"/>
      <c r="R17" s="20"/>
      <c r="S17" s="20"/>
      <c r="T17" s="20"/>
      <c r="U17" s="20"/>
      <c r="V17" s="20"/>
      <c r="W17" s="20"/>
      <c r="X17" s="20"/>
    </row>
    <row r="18">
      <c r="A18" s="20"/>
      <c r="J18" s="20"/>
      <c r="K18" s="20"/>
      <c r="L18" s="46"/>
      <c r="M18" s="20"/>
      <c r="N18" s="20"/>
      <c r="O18" s="20"/>
      <c r="P18" s="20"/>
      <c r="Q18" s="20"/>
      <c r="R18" s="20"/>
      <c r="S18" s="20"/>
      <c r="T18" s="20"/>
      <c r="U18" s="20"/>
      <c r="V18" s="20"/>
      <c r="W18" s="20"/>
      <c r="X18" s="20"/>
    </row>
    <row r="19">
      <c r="A19" s="20"/>
      <c r="J19" s="20"/>
      <c r="K19" s="20"/>
      <c r="L19" s="46"/>
      <c r="M19" s="20"/>
      <c r="N19" s="20"/>
      <c r="O19" s="20"/>
      <c r="P19" s="20"/>
      <c r="Q19" s="20"/>
      <c r="R19" s="20"/>
      <c r="S19" s="20"/>
      <c r="T19" s="20"/>
      <c r="U19" s="20"/>
      <c r="V19" s="20"/>
      <c r="W19" s="20"/>
      <c r="X19" s="20"/>
    </row>
    <row r="20" ht="15.75" customHeight="1">
      <c r="A20" s="20"/>
      <c r="J20" s="20"/>
      <c r="K20" s="20"/>
      <c r="L20" s="46"/>
      <c r="M20" s="20"/>
      <c r="N20" s="20"/>
      <c r="O20" s="20"/>
      <c r="P20" s="20"/>
      <c r="Q20" s="20"/>
      <c r="R20" s="20"/>
      <c r="S20" s="20"/>
      <c r="T20" s="20"/>
      <c r="U20" s="20"/>
      <c r="V20" s="20"/>
      <c r="W20" s="20"/>
      <c r="X20" s="20"/>
    </row>
    <row r="21" ht="15.75" customHeight="1">
      <c r="A21" s="20"/>
      <c r="J21" s="20"/>
      <c r="K21" s="20"/>
      <c r="L21" s="46"/>
      <c r="M21" s="28"/>
      <c r="N21" s="20"/>
      <c r="O21" s="20"/>
      <c r="P21" s="20"/>
      <c r="Q21" s="20"/>
      <c r="R21" s="20"/>
      <c r="S21" s="20"/>
      <c r="T21" s="20"/>
      <c r="U21" s="20"/>
      <c r="V21" s="20"/>
      <c r="W21" s="20"/>
      <c r="X21" s="20"/>
    </row>
    <row r="22" ht="15.75" customHeight="1">
      <c r="A22" s="20"/>
      <c r="J22" s="20"/>
      <c r="K22" s="20"/>
      <c r="L22" s="46"/>
      <c r="M22" s="20"/>
      <c r="N22" s="20"/>
      <c r="O22" s="20"/>
      <c r="P22" s="20"/>
      <c r="Q22" s="20"/>
      <c r="R22" s="20"/>
      <c r="S22" s="20"/>
      <c r="T22" s="20"/>
      <c r="U22" s="20"/>
      <c r="V22" s="20"/>
      <c r="W22" s="20"/>
      <c r="X22" s="20"/>
    </row>
    <row r="23" ht="15.75" customHeight="1">
      <c r="A23" s="20"/>
      <c r="J23" s="20"/>
      <c r="K23" s="20"/>
      <c r="L23" s="46"/>
      <c r="M23" s="20"/>
      <c r="N23" s="20"/>
      <c r="O23" s="20"/>
      <c r="P23" s="20"/>
      <c r="Q23" s="20"/>
      <c r="R23" s="20"/>
      <c r="S23" s="20"/>
      <c r="T23" s="20"/>
      <c r="U23" s="20"/>
      <c r="V23" s="20"/>
      <c r="W23" s="20"/>
      <c r="X23" s="20"/>
    </row>
    <row r="24" ht="15.75" customHeight="1">
      <c r="A24" s="20"/>
      <c r="J24" s="20"/>
      <c r="K24" s="20"/>
      <c r="L24" s="46"/>
      <c r="M24" s="20"/>
      <c r="N24" s="20"/>
      <c r="O24" s="20"/>
      <c r="P24" s="20"/>
      <c r="Q24" s="20"/>
      <c r="R24" s="20"/>
      <c r="S24" s="20"/>
      <c r="T24" s="20"/>
      <c r="U24" s="20"/>
      <c r="V24" s="20"/>
      <c r="W24" s="20"/>
      <c r="X24" s="20"/>
    </row>
    <row r="25" ht="15.75" customHeight="1">
      <c r="A25" s="20"/>
      <c r="J25" s="20"/>
      <c r="K25" s="20"/>
      <c r="L25" s="46"/>
      <c r="M25" s="20"/>
      <c r="N25" s="20"/>
      <c r="O25" s="20"/>
      <c r="P25" s="20"/>
      <c r="Q25" s="20"/>
      <c r="R25" s="20"/>
      <c r="S25" s="20"/>
      <c r="T25" s="20"/>
      <c r="U25" s="20"/>
      <c r="V25" s="20"/>
      <c r="W25" s="20"/>
      <c r="X25" s="20"/>
    </row>
    <row r="26" ht="15.75" customHeight="1">
      <c r="A26" s="20"/>
      <c r="J26" s="20"/>
      <c r="K26" s="20"/>
      <c r="L26" s="46"/>
      <c r="M26" s="20"/>
      <c r="N26" s="20"/>
      <c r="O26" s="20"/>
      <c r="P26" s="20"/>
      <c r="Q26" s="20"/>
      <c r="R26" s="20"/>
      <c r="S26" s="20"/>
      <c r="T26" s="20"/>
      <c r="U26" s="20"/>
      <c r="V26" s="20"/>
      <c r="W26" s="20"/>
      <c r="X26" s="20"/>
    </row>
    <row r="27" ht="15.75" customHeight="1">
      <c r="A27" s="20"/>
      <c r="J27" s="20"/>
      <c r="K27" s="20"/>
      <c r="L27" s="46"/>
      <c r="M27" s="20"/>
      <c r="N27" s="20"/>
      <c r="O27" s="20"/>
      <c r="P27" s="20"/>
      <c r="Q27" s="20"/>
      <c r="R27" s="20"/>
      <c r="S27" s="20"/>
      <c r="T27" s="20"/>
      <c r="U27" s="20"/>
      <c r="V27" s="20"/>
      <c r="W27" s="20"/>
      <c r="X27" s="20"/>
    </row>
    <row r="28" ht="15.75" customHeight="1">
      <c r="A28" s="20"/>
      <c r="J28" s="20"/>
      <c r="K28" s="20"/>
      <c r="L28" s="46"/>
      <c r="M28" s="20"/>
      <c r="N28" s="20"/>
      <c r="O28" s="20"/>
      <c r="P28" s="20"/>
      <c r="Q28" s="20"/>
      <c r="R28" s="20"/>
      <c r="S28" s="20"/>
      <c r="T28" s="20"/>
      <c r="U28" s="20"/>
      <c r="V28" s="20"/>
      <c r="W28" s="20"/>
      <c r="X28" s="20"/>
    </row>
    <row r="29" ht="15.75" customHeight="1">
      <c r="A29" s="20"/>
      <c r="J29" s="20"/>
      <c r="K29" s="20"/>
      <c r="L29" s="46"/>
      <c r="M29" s="20"/>
      <c r="N29" s="20"/>
      <c r="O29" s="20"/>
      <c r="P29" s="20"/>
      <c r="Q29" s="20"/>
      <c r="R29" s="20"/>
      <c r="S29" s="20"/>
      <c r="T29" s="20"/>
      <c r="U29" s="20"/>
      <c r="V29" s="20"/>
      <c r="W29" s="20"/>
      <c r="X29" s="20"/>
    </row>
    <row r="30" ht="15.75" customHeight="1">
      <c r="A30" s="20"/>
      <c r="B30" s="20"/>
      <c r="C30" s="20"/>
      <c r="D30" s="20"/>
      <c r="E30" s="20"/>
      <c r="F30" s="20"/>
      <c r="G30" s="20"/>
      <c r="H30" s="20"/>
      <c r="I30" s="20"/>
      <c r="J30" s="20"/>
      <c r="K30" s="20"/>
      <c r="L30" s="46"/>
      <c r="M30" s="20"/>
      <c r="N30" s="20"/>
      <c r="O30" s="20"/>
      <c r="P30" s="20"/>
      <c r="Q30" s="20"/>
      <c r="R30" s="20"/>
      <c r="S30" s="20"/>
      <c r="T30" s="20"/>
      <c r="U30" s="20"/>
      <c r="V30" s="20"/>
      <c r="W30" s="20"/>
      <c r="X30" s="20"/>
    </row>
    <row r="31" ht="15.75" customHeight="1">
      <c r="A31" s="20"/>
      <c r="B31" s="20"/>
      <c r="C31" s="20"/>
      <c r="D31" s="20"/>
      <c r="E31" s="20"/>
      <c r="F31" s="20"/>
      <c r="G31" s="20"/>
      <c r="H31" s="20"/>
      <c r="I31" s="20"/>
      <c r="J31" s="20"/>
      <c r="K31" s="20"/>
      <c r="L31" s="46"/>
      <c r="M31" s="20"/>
      <c r="N31" s="20"/>
      <c r="O31" s="20"/>
      <c r="P31" s="20"/>
      <c r="Q31" s="20"/>
      <c r="R31" s="20"/>
      <c r="S31" s="20"/>
      <c r="T31" s="20"/>
      <c r="U31" s="20"/>
      <c r="V31" s="20"/>
      <c r="W31" s="20"/>
      <c r="X31" s="20"/>
    </row>
    <row r="32" ht="15.75" customHeight="1">
      <c r="A32" s="20"/>
      <c r="B32" s="20"/>
      <c r="C32" s="20"/>
      <c r="D32" s="20"/>
      <c r="E32" s="20"/>
      <c r="F32" s="20"/>
      <c r="G32" s="20"/>
      <c r="H32" s="20"/>
      <c r="I32" s="20"/>
      <c r="J32" s="20"/>
      <c r="K32" s="20"/>
      <c r="L32" s="46"/>
      <c r="M32" s="20"/>
      <c r="N32" s="20"/>
      <c r="O32" s="20"/>
      <c r="P32" s="20"/>
      <c r="Q32" s="20"/>
      <c r="R32" s="20"/>
      <c r="S32" s="20"/>
      <c r="T32" s="20"/>
      <c r="U32" s="20"/>
      <c r="V32" s="20"/>
      <c r="W32" s="20"/>
      <c r="X32" s="20"/>
    </row>
    <row r="33" ht="15.75" customHeight="1">
      <c r="A33" s="20"/>
      <c r="B33" s="20"/>
      <c r="C33" s="20"/>
      <c r="D33" s="20"/>
      <c r="E33" s="20"/>
      <c r="F33" s="20"/>
      <c r="G33" s="20"/>
      <c r="H33" s="20"/>
      <c r="I33" s="20"/>
      <c r="J33" s="20"/>
      <c r="K33" s="20"/>
      <c r="L33" s="46"/>
      <c r="M33" s="20"/>
      <c r="N33" s="20"/>
      <c r="O33" s="20"/>
      <c r="P33" s="20"/>
      <c r="Q33" s="20"/>
      <c r="R33" s="20"/>
      <c r="S33" s="20"/>
      <c r="T33" s="20"/>
      <c r="U33" s="20"/>
      <c r="V33" s="20"/>
      <c r="W33" s="20"/>
      <c r="X33" s="20"/>
    </row>
    <row r="34" ht="15.75" customHeight="1">
      <c r="A34" s="20"/>
      <c r="B34" s="20"/>
      <c r="C34" s="20"/>
      <c r="D34" s="20"/>
      <c r="E34" s="20"/>
      <c r="F34" s="20"/>
      <c r="G34" s="20"/>
      <c r="H34" s="20"/>
      <c r="I34" s="20"/>
      <c r="J34" s="20"/>
      <c r="K34" s="20"/>
      <c r="L34" s="46"/>
      <c r="M34" s="20"/>
      <c r="N34" s="20"/>
      <c r="O34" s="20"/>
      <c r="P34" s="20"/>
      <c r="Q34" s="20"/>
      <c r="R34" s="20"/>
      <c r="S34" s="20"/>
      <c r="T34" s="20"/>
      <c r="U34" s="20"/>
      <c r="V34" s="20"/>
      <c r="W34" s="20"/>
      <c r="X34" s="20"/>
    </row>
    <row r="35" ht="15.75" customHeight="1">
      <c r="A35" s="20"/>
      <c r="B35" s="20"/>
      <c r="C35" s="20"/>
      <c r="D35" s="20"/>
      <c r="E35" s="20"/>
      <c r="F35" s="20"/>
      <c r="G35" s="20"/>
      <c r="H35" s="20"/>
      <c r="I35" s="20"/>
      <c r="J35" s="20"/>
      <c r="K35" s="20"/>
      <c r="L35" s="46"/>
      <c r="M35" s="20"/>
      <c r="N35" s="20"/>
      <c r="O35" s="20"/>
      <c r="P35" s="20"/>
      <c r="Q35" s="20"/>
      <c r="R35" s="20"/>
      <c r="S35" s="20"/>
      <c r="T35" s="20"/>
      <c r="U35" s="20"/>
      <c r="V35" s="20"/>
      <c r="W35" s="20"/>
      <c r="X35" s="20"/>
    </row>
    <row r="36" ht="15.75" customHeight="1">
      <c r="A36" s="20"/>
      <c r="B36" s="20"/>
      <c r="C36" s="20"/>
      <c r="D36" s="20"/>
      <c r="E36" s="20"/>
      <c r="F36" s="20"/>
      <c r="G36" s="20"/>
      <c r="H36" s="20"/>
      <c r="I36" s="20"/>
      <c r="J36" s="20"/>
      <c r="K36" s="20"/>
      <c r="L36" s="46"/>
      <c r="M36" s="20"/>
      <c r="N36" s="20"/>
      <c r="O36" s="20"/>
      <c r="P36" s="20"/>
      <c r="Q36" s="20"/>
      <c r="R36" s="20"/>
      <c r="S36" s="20"/>
      <c r="T36" s="20"/>
      <c r="U36" s="20"/>
      <c r="V36" s="20"/>
      <c r="W36" s="20"/>
      <c r="X36" s="20"/>
    </row>
    <row r="37" ht="15.75" customHeight="1">
      <c r="A37" s="20"/>
      <c r="B37" s="20"/>
      <c r="C37" s="20"/>
      <c r="D37" s="20"/>
      <c r="E37" s="20"/>
      <c r="F37" s="20"/>
      <c r="G37" s="20"/>
      <c r="H37" s="20"/>
      <c r="I37" s="20"/>
      <c r="J37" s="20"/>
      <c r="K37" s="20"/>
      <c r="L37" s="46"/>
      <c r="M37" s="20"/>
      <c r="N37" s="20"/>
      <c r="O37" s="20"/>
      <c r="P37" s="20"/>
      <c r="Q37" s="20"/>
      <c r="R37" s="20"/>
      <c r="S37" s="20"/>
      <c r="T37" s="20"/>
      <c r="U37" s="20"/>
      <c r="V37" s="20"/>
      <c r="W37" s="20"/>
      <c r="X37" s="20"/>
    </row>
    <row r="38" ht="15.75" customHeight="1">
      <c r="A38" s="20"/>
      <c r="B38" s="20"/>
      <c r="C38" s="20"/>
      <c r="D38" s="20"/>
      <c r="E38" s="20"/>
      <c r="F38" s="20"/>
      <c r="G38" s="20"/>
      <c r="H38" s="20"/>
      <c r="I38" s="20"/>
      <c r="J38" s="20"/>
      <c r="K38" s="20"/>
      <c r="L38" s="46"/>
      <c r="M38" s="20"/>
      <c r="N38" s="20"/>
      <c r="O38" s="20"/>
      <c r="P38" s="20"/>
      <c r="Q38" s="20"/>
      <c r="R38" s="20"/>
      <c r="S38" s="20"/>
      <c r="T38" s="20"/>
      <c r="U38" s="20"/>
      <c r="V38" s="20"/>
      <c r="W38" s="20"/>
      <c r="X38" s="20"/>
    </row>
    <row r="39" ht="15.75" customHeight="1">
      <c r="A39" s="20"/>
      <c r="B39" s="20"/>
      <c r="C39" s="20"/>
      <c r="D39" s="20"/>
      <c r="E39" s="20"/>
      <c r="F39" s="20"/>
      <c r="G39" s="20"/>
      <c r="H39" s="20"/>
      <c r="I39" s="20"/>
      <c r="J39" s="20"/>
      <c r="K39" s="20"/>
      <c r="L39" s="46"/>
      <c r="M39" s="20"/>
      <c r="N39" s="20"/>
      <c r="O39" s="20"/>
      <c r="P39" s="20"/>
      <c r="Q39" s="20"/>
      <c r="R39" s="20"/>
      <c r="S39" s="20"/>
      <c r="T39" s="20"/>
      <c r="U39" s="20"/>
      <c r="V39" s="20"/>
      <c r="W39" s="20"/>
      <c r="X39" s="20"/>
    </row>
    <row r="40" ht="15.75" customHeight="1">
      <c r="A40" s="20"/>
      <c r="B40" s="20"/>
      <c r="C40" s="20"/>
      <c r="D40" s="20"/>
      <c r="E40" s="20"/>
      <c r="F40" s="20"/>
      <c r="G40" s="20"/>
      <c r="H40" s="20"/>
      <c r="I40" s="20"/>
      <c r="J40" s="20"/>
      <c r="K40" s="20"/>
      <c r="L40" s="46"/>
      <c r="M40" s="20"/>
      <c r="N40" s="20"/>
      <c r="O40" s="20"/>
      <c r="P40" s="20"/>
      <c r="Q40" s="20"/>
      <c r="R40" s="20"/>
      <c r="S40" s="20"/>
      <c r="T40" s="20"/>
      <c r="U40" s="20"/>
      <c r="V40" s="20"/>
      <c r="W40" s="20"/>
      <c r="X40" s="20"/>
    </row>
    <row r="41" ht="15.75" customHeight="1">
      <c r="A41" s="20"/>
      <c r="B41" s="20"/>
      <c r="C41" s="20"/>
      <c r="D41" s="20"/>
      <c r="E41" s="20"/>
      <c r="F41" s="20"/>
      <c r="G41" s="20"/>
      <c r="H41" s="20"/>
      <c r="I41" s="20"/>
      <c r="J41" s="20"/>
      <c r="K41" s="20"/>
      <c r="L41" s="46"/>
      <c r="M41" s="47"/>
      <c r="N41" s="20"/>
      <c r="O41" s="20"/>
      <c r="P41" s="20"/>
      <c r="Q41" s="20"/>
      <c r="R41" s="20"/>
      <c r="S41" s="20"/>
      <c r="T41" s="20"/>
      <c r="U41" s="20"/>
      <c r="V41" s="20"/>
      <c r="W41" s="20"/>
      <c r="X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2:P2"/>
  </mergeCells>
  <conditionalFormatting sqref="C4:I29">
    <cfRule type="colorScale" priority="1">
      <colorScale>
        <cfvo type="formula" val="25"/>
        <cfvo type="formula" val="50"/>
        <cfvo type="formula" val="75"/>
        <color rgb="FFFF0000"/>
        <color rgb="FFFFFF00"/>
        <color rgb="FF00FFFF"/>
      </colorScale>
    </cfRule>
  </conditionalFormatting>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43"/>
    <col customWidth="1" min="2" max="8" width="20.57"/>
    <col customWidth="1" min="9" max="16" width="9.14"/>
    <col customWidth="1" hidden="1" min="17"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ht="30.0" customHeight="1">
      <c r="A2" s="20"/>
      <c r="B2" s="51" t="s">
        <v>8</v>
      </c>
      <c r="Q2" s="20"/>
      <c r="R2" s="20"/>
      <c r="S2" s="20"/>
      <c r="T2" s="20"/>
      <c r="U2" s="20"/>
      <c r="V2" s="20"/>
      <c r="W2" s="20"/>
      <c r="X2" s="20"/>
    </row>
    <row r="3">
      <c r="A3" s="20"/>
      <c r="B3" s="52"/>
      <c r="C3" s="20"/>
      <c r="D3" s="52"/>
      <c r="E3" s="20"/>
      <c r="F3" s="20"/>
      <c r="G3" s="20"/>
      <c r="H3" s="20"/>
      <c r="I3" s="20"/>
      <c r="J3" s="20"/>
      <c r="K3" s="20"/>
      <c r="L3" s="20"/>
      <c r="M3" s="20"/>
      <c r="N3" s="20"/>
      <c r="O3" s="20"/>
      <c r="P3" s="20"/>
      <c r="Q3" s="20"/>
      <c r="R3" s="20"/>
      <c r="S3" s="20"/>
      <c r="T3" s="20"/>
      <c r="U3" s="20"/>
      <c r="V3" s="20"/>
      <c r="W3" s="20"/>
      <c r="X3" s="20"/>
    </row>
    <row r="4">
      <c r="A4" s="20"/>
      <c r="B4" s="52" t="s">
        <v>253</v>
      </c>
      <c r="C4" s="20"/>
      <c r="D4" s="52" t="s">
        <v>254</v>
      </c>
      <c r="E4" s="20"/>
      <c r="F4" s="20"/>
      <c r="G4" s="20"/>
      <c r="H4" s="20"/>
      <c r="I4" s="20"/>
      <c r="J4" s="20"/>
      <c r="K4" s="20"/>
      <c r="L4" s="20"/>
      <c r="M4" s="20"/>
      <c r="N4" s="20"/>
      <c r="O4" s="20"/>
      <c r="P4" s="20"/>
      <c r="Q4" s="20"/>
      <c r="R4" s="20"/>
      <c r="S4" s="20"/>
      <c r="T4" s="20"/>
      <c r="U4" s="20"/>
      <c r="V4" s="20"/>
      <c r="W4" s="20"/>
      <c r="X4" s="20"/>
    </row>
    <row r="5">
      <c r="A5" s="37"/>
      <c r="B5" s="52" t="s">
        <v>255</v>
      </c>
      <c r="D5" s="52" t="s">
        <v>256</v>
      </c>
      <c r="I5" s="20"/>
      <c r="J5" s="20"/>
      <c r="K5" s="20"/>
      <c r="L5" s="20"/>
      <c r="M5" s="20"/>
      <c r="N5" s="20"/>
      <c r="O5" s="20"/>
      <c r="P5" s="20"/>
      <c r="Q5" s="20"/>
      <c r="R5" s="20"/>
      <c r="S5" s="20"/>
      <c r="T5" s="20"/>
      <c r="U5" s="20"/>
      <c r="V5" s="20"/>
      <c r="W5" s="20"/>
      <c r="X5" s="20"/>
    </row>
    <row r="6" ht="15.75" customHeight="1">
      <c r="A6" s="20"/>
      <c r="B6" s="52" t="s">
        <v>257</v>
      </c>
      <c r="C6" s="20"/>
      <c r="D6" s="52" t="s">
        <v>258</v>
      </c>
      <c r="E6" s="20"/>
      <c r="F6" s="20"/>
      <c r="G6" s="20"/>
      <c r="H6" s="20"/>
      <c r="I6" s="20"/>
      <c r="J6" s="20"/>
      <c r="K6" s="20"/>
      <c r="L6" s="20"/>
      <c r="M6" s="20"/>
      <c r="N6" s="20"/>
      <c r="O6" s="20"/>
      <c r="P6" s="20"/>
      <c r="Q6" s="20"/>
      <c r="R6" s="20"/>
      <c r="S6" s="20"/>
      <c r="T6" s="20"/>
      <c r="U6" s="20"/>
      <c r="V6" s="20"/>
      <c r="W6" s="20"/>
      <c r="X6" s="20"/>
    </row>
    <row r="7" ht="15.75" customHeight="1">
      <c r="A7" s="20"/>
      <c r="B7" s="52" t="s">
        <v>259</v>
      </c>
      <c r="C7" s="53"/>
      <c r="D7" s="52" t="s">
        <v>260</v>
      </c>
      <c r="E7" s="20"/>
      <c r="F7" s="20"/>
      <c r="G7" s="20"/>
      <c r="H7" s="20"/>
      <c r="I7" s="20"/>
      <c r="J7" s="20"/>
      <c r="K7" s="20"/>
      <c r="L7" s="46"/>
      <c r="M7" s="20"/>
      <c r="N7" s="20"/>
      <c r="O7" s="20"/>
      <c r="P7" s="20"/>
      <c r="Q7" s="20"/>
      <c r="R7" s="20"/>
      <c r="S7" s="20"/>
      <c r="T7" s="20"/>
      <c r="U7" s="20"/>
      <c r="V7" s="20"/>
      <c r="W7" s="20"/>
      <c r="X7" s="20"/>
    </row>
    <row r="8" ht="15.75" customHeight="1">
      <c r="A8" s="37"/>
      <c r="I8" s="20"/>
      <c r="J8" s="20"/>
      <c r="K8" s="20"/>
      <c r="L8" s="46"/>
      <c r="M8" s="20"/>
      <c r="N8" s="20"/>
      <c r="O8" s="20"/>
      <c r="P8" s="20"/>
      <c r="Q8" s="20"/>
      <c r="R8" s="20"/>
      <c r="S8" s="20"/>
      <c r="T8" s="20"/>
      <c r="U8" s="20"/>
      <c r="V8" s="20"/>
      <c r="W8" s="20"/>
      <c r="X8" s="20"/>
    </row>
    <row r="9" ht="15.75" customHeight="1">
      <c r="A9" s="37"/>
      <c r="B9" s="52" t="s">
        <v>261</v>
      </c>
      <c r="C9" s="20"/>
      <c r="E9" s="52" t="s">
        <v>254</v>
      </c>
      <c r="I9" s="20"/>
      <c r="J9" s="20"/>
      <c r="K9" s="20"/>
      <c r="L9" s="46"/>
      <c r="M9" s="20"/>
      <c r="N9" s="20"/>
      <c r="O9" s="20"/>
      <c r="P9" s="20"/>
      <c r="Q9" s="20"/>
      <c r="R9" s="20"/>
      <c r="S9" s="20"/>
      <c r="T9" s="20"/>
      <c r="U9" s="20"/>
      <c r="V9" s="20"/>
      <c r="W9" s="20"/>
      <c r="X9" s="20"/>
    </row>
    <row r="10" ht="15.75" customHeight="1">
      <c r="A10" s="37"/>
      <c r="B10" s="52" t="s">
        <v>262</v>
      </c>
      <c r="E10" s="52" t="s">
        <v>256</v>
      </c>
      <c r="I10" s="20"/>
      <c r="J10" s="20"/>
      <c r="K10" s="20"/>
      <c r="L10" s="46"/>
      <c r="M10" s="20"/>
      <c r="N10" s="20"/>
      <c r="O10" s="20"/>
      <c r="P10" s="20"/>
      <c r="Q10" s="20"/>
      <c r="R10" s="20"/>
      <c r="S10" s="20"/>
      <c r="T10" s="20"/>
      <c r="U10" s="20"/>
      <c r="V10" s="20"/>
      <c r="W10" s="20"/>
      <c r="X10" s="20"/>
    </row>
    <row r="11" ht="15.75" customHeight="1">
      <c r="A11" s="37"/>
      <c r="B11" s="52" t="s">
        <v>263</v>
      </c>
      <c r="C11" s="20"/>
      <c r="E11" s="52" t="s">
        <v>258</v>
      </c>
      <c r="I11" s="20"/>
      <c r="J11" s="20"/>
      <c r="K11" s="20"/>
      <c r="L11" s="46"/>
      <c r="M11" s="20"/>
      <c r="N11" s="20"/>
      <c r="O11" s="20"/>
      <c r="P11" s="20"/>
      <c r="Q11" s="20"/>
      <c r="R11" s="20"/>
      <c r="S11" s="20"/>
      <c r="T11" s="20"/>
      <c r="U11" s="20"/>
      <c r="V11" s="20"/>
      <c r="W11" s="20"/>
      <c r="X11" s="20"/>
    </row>
    <row r="12" ht="15.75" customHeight="1">
      <c r="A12" s="37"/>
      <c r="B12" s="52" t="s">
        <v>264</v>
      </c>
      <c r="C12" s="53"/>
      <c r="E12" s="52" t="s">
        <v>260</v>
      </c>
      <c r="I12" s="20"/>
      <c r="J12" s="20"/>
      <c r="K12" s="20"/>
      <c r="L12" s="46"/>
      <c r="M12" s="20"/>
      <c r="N12" s="20"/>
      <c r="O12" s="20"/>
      <c r="P12" s="20"/>
      <c r="Q12" s="20"/>
      <c r="R12" s="20"/>
      <c r="S12" s="20"/>
      <c r="T12" s="20"/>
      <c r="U12" s="20"/>
      <c r="V12" s="20"/>
      <c r="W12" s="20"/>
      <c r="X12" s="20"/>
    </row>
    <row r="13" ht="15.75" customHeight="1">
      <c r="A13" s="37"/>
      <c r="I13" s="20"/>
      <c r="J13" s="20"/>
      <c r="K13" s="20"/>
      <c r="L13" s="46"/>
      <c r="M13" s="20"/>
      <c r="N13" s="20"/>
      <c r="O13" s="20"/>
      <c r="P13" s="20"/>
      <c r="Q13" s="20"/>
      <c r="R13" s="20"/>
      <c r="S13" s="20"/>
      <c r="T13" s="20"/>
      <c r="U13" s="20"/>
      <c r="V13" s="20"/>
      <c r="W13" s="20"/>
      <c r="X13" s="20"/>
    </row>
    <row r="14" ht="15.75" customHeight="1">
      <c r="A14" s="54"/>
      <c r="B14" s="54"/>
      <c r="C14" s="54"/>
      <c r="D14" s="54"/>
      <c r="E14" s="54"/>
      <c r="F14" s="54"/>
      <c r="G14" s="54"/>
      <c r="H14" s="54"/>
      <c r="I14" s="20"/>
      <c r="J14" s="20"/>
      <c r="K14" s="20"/>
      <c r="L14" s="46"/>
      <c r="M14" s="20"/>
      <c r="N14" s="20"/>
      <c r="O14" s="20"/>
      <c r="P14" s="20"/>
      <c r="Q14" s="20"/>
      <c r="R14" s="20"/>
      <c r="S14" s="20"/>
      <c r="T14" s="20"/>
      <c r="U14" s="20"/>
      <c r="V14" s="20"/>
      <c r="W14" s="20"/>
      <c r="X14" s="20"/>
    </row>
    <row r="15" ht="15.75" customHeight="1">
      <c r="A15" s="55" t="s">
        <v>35</v>
      </c>
      <c r="B15" s="55" t="s">
        <v>218</v>
      </c>
      <c r="C15" s="55" t="s">
        <v>219</v>
      </c>
      <c r="D15" s="55" t="s">
        <v>220</v>
      </c>
      <c r="E15" s="55" t="s">
        <v>221</v>
      </c>
      <c r="F15" s="55" t="s">
        <v>222</v>
      </c>
      <c r="G15" s="55" t="s">
        <v>223</v>
      </c>
      <c r="H15" s="55" t="s">
        <v>224</v>
      </c>
      <c r="I15" s="20"/>
      <c r="J15" s="20"/>
      <c r="K15" s="20"/>
      <c r="L15" s="46"/>
      <c r="M15" s="20"/>
      <c r="N15" s="20"/>
      <c r="O15" s="20"/>
      <c r="P15" s="20"/>
      <c r="Q15" s="20"/>
      <c r="R15" s="20"/>
      <c r="S15" s="20"/>
      <c r="T15" s="20"/>
      <c r="U15" s="20"/>
      <c r="V15" s="20"/>
      <c r="W15" s="20"/>
      <c r="X15" s="20"/>
    </row>
    <row r="16" ht="15.75" customHeight="1">
      <c r="A16" s="56" t="s">
        <v>226</v>
      </c>
      <c r="B16" s="57">
        <f t="shared" ref="B16:H16" si="1">IFS(B43&lt;25, 2, B43&lt;50, 1.7, B43&lt;75, 1.3, B43&gt;=75, 1)</f>
        <v>1</v>
      </c>
      <c r="C16" s="57">
        <f t="shared" si="1"/>
        <v>1</v>
      </c>
      <c r="D16" s="57">
        <f t="shared" si="1"/>
        <v>1</v>
      </c>
      <c r="E16" s="57">
        <f t="shared" si="1"/>
        <v>1</v>
      </c>
      <c r="F16" s="57">
        <f t="shared" si="1"/>
        <v>1</v>
      </c>
      <c r="G16" s="57">
        <f t="shared" si="1"/>
        <v>1.3</v>
      </c>
      <c r="H16" s="57">
        <f t="shared" si="1"/>
        <v>1</v>
      </c>
      <c r="I16" s="20"/>
      <c r="J16" s="20"/>
      <c r="K16" s="20"/>
      <c r="L16" s="46"/>
      <c r="M16" s="20"/>
      <c r="N16" s="20"/>
      <c r="O16" s="20"/>
      <c r="P16" s="20"/>
      <c r="Q16" s="20"/>
      <c r="R16" s="20"/>
      <c r="S16" s="20"/>
      <c r="T16" s="20"/>
      <c r="U16" s="20"/>
      <c r="V16" s="20"/>
      <c r="W16" s="20"/>
      <c r="X16" s="20"/>
    </row>
    <row r="17" ht="15.75" customHeight="1">
      <c r="A17" s="56" t="s">
        <v>227</v>
      </c>
      <c r="B17" s="57">
        <f t="shared" ref="B17:H17" si="2">IFS(B44&lt;25, 2, B44&lt;50, 1.7, B44&lt;75, 1.3, B44&gt;=75, 1)</f>
        <v>1</v>
      </c>
      <c r="C17" s="57">
        <f t="shared" si="2"/>
        <v>1</v>
      </c>
      <c r="D17" s="57">
        <f t="shared" si="2"/>
        <v>1</v>
      </c>
      <c r="E17" s="57">
        <f t="shared" si="2"/>
        <v>1.3</v>
      </c>
      <c r="F17" s="57">
        <f t="shared" si="2"/>
        <v>1</v>
      </c>
      <c r="G17" s="57">
        <f t="shared" si="2"/>
        <v>1</v>
      </c>
      <c r="H17" s="57">
        <f t="shared" si="2"/>
        <v>1</v>
      </c>
      <c r="I17" s="20"/>
      <c r="J17" s="20"/>
      <c r="K17" s="20"/>
      <c r="L17" s="46"/>
      <c r="M17" s="20"/>
      <c r="N17" s="20"/>
      <c r="O17" s="20"/>
      <c r="P17" s="20"/>
      <c r="Q17" s="20"/>
      <c r="R17" s="20"/>
      <c r="S17" s="20"/>
      <c r="T17" s="20"/>
      <c r="U17" s="20"/>
      <c r="V17" s="20"/>
      <c r="W17" s="20"/>
      <c r="X17" s="20"/>
    </row>
    <row r="18" ht="15.75" customHeight="1">
      <c r="A18" s="56" t="s">
        <v>228</v>
      </c>
      <c r="B18" s="57">
        <f t="shared" ref="B18:H18" si="3">IFS(B45&lt;25, 2, B45&lt;50, 1.7, B45&lt;75, 1.3, B45&gt;=75, 1)</f>
        <v>1.3</v>
      </c>
      <c r="C18" s="57">
        <f t="shared" si="3"/>
        <v>1.3</v>
      </c>
      <c r="D18" s="57">
        <f t="shared" si="3"/>
        <v>1</v>
      </c>
      <c r="E18" s="57">
        <f t="shared" si="3"/>
        <v>1.3</v>
      </c>
      <c r="F18" s="57">
        <f t="shared" si="3"/>
        <v>1</v>
      </c>
      <c r="G18" s="57">
        <f t="shared" si="3"/>
        <v>1</v>
      </c>
      <c r="H18" s="57">
        <f t="shared" si="3"/>
        <v>1</v>
      </c>
      <c r="I18" s="20"/>
      <c r="J18" s="20"/>
      <c r="K18" s="20"/>
      <c r="L18" s="46"/>
      <c r="M18" s="20"/>
      <c r="N18" s="20"/>
      <c r="O18" s="20"/>
      <c r="P18" s="20"/>
      <c r="Q18" s="20"/>
      <c r="R18" s="20"/>
      <c r="S18" s="20"/>
      <c r="T18" s="20"/>
      <c r="U18" s="20"/>
      <c r="V18" s="20"/>
      <c r="W18" s="20"/>
      <c r="X18" s="20"/>
    </row>
    <row r="19" ht="15.75" customHeight="1">
      <c r="A19" s="56" t="s">
        <v>229</v>
      </c>
      <c r="B19" s="57">
        <f t="shared" ref="B19:H19" si="4">IFS(B46&lt;25, 2, B46&lt;50, 1.7, B46&lt;75, 1.3, B46&gt;=75, 1)</f>
        <v>2</v>
      </c>
      <c r="C19" s="57">
        <f t="shared" si="4"/>
        <v>1.7</v>
      </c>
      <c r="D19" s="57">
        <f t="shared" si="4"/>
        <v>1.3</v>
      </c>
      <c r="E19" s="57">
        <f t="shared" si="4"/>
        <v>1</v>
      </c>
      <c r="F19" s="57">
        <f t="shared" si="4"/>
        <v>1.3</v>
      </c>
      <c r="G19" s="57">
        <f t="shared" si="4"/>
        <v>1.3</v>
      </c>
      <c r="H19" s="57">
        <f t="shared" si="4"/>
        <v>1.3</v>
      </c>
      <c r="I19" s="20"/>
      <c r="J19" s="20"/>
      <c r="K19" s="20"/>
      <c r="L19" s="46"/>
      <c r="M19" s="20"/>
      <c r="N19" s="20"/>
      <c r="O19" s="20"/>
      <c r="P19" s="20"/>
      <c r="Q19" s="20"/>
      <c r="R19" s="20"/>
      <c r="S19" s="20"/>
      <c r="T19" s="20"/>
      <c r="U19" s="20"/>
      <c r="V19" s="20"/>
      <c r="W19" s="20"/>
      <c r="X19" s="20"/>
    </row>
    <row r="20" ht="15.75" customHeight="1">
      <c r="A20" s="56" t="s">
        <v>230</v>
      </c>
      <c r="B20" s="57">
        <f t="shared" ref="B20:H20" si="5">IFS(B47&lt;25, 2, B47&lt;50, 1.7, B47&lt;75, 1.3, B47&gt;=75, 1)</f>
        <v>1.3</v>
      </c>
      <c r="C20" s="57">
        <f t="shared" si="5"/>
        <v>1.3</v>
      </c>
      <c r="D20" s="57">
        <f t="shared" si="5"/>
        <v>1.7</v>
      </c>
      <c r="E20" s="57">
        <f t="shared" si="5"/>
        <v>1.3</v>
      </c>
      <c r="F20" s="57">
        <f t="shared" si="5"/>
        <v>2</v>
      </c>
      <c r="G20" s="57">
        <f t="shared" si="5"/>
        <v>1.3</v>
      </c>
      <c r="H20" s="57">
        <f t="shared" si="5"/>
        <v>1.7</v>
      </c>
      <c r="I20" s="20"/>
      <c r="J20" s="20"/>
      <c r="K20" s="20"/>
      <c r="L20" s="46"/>
      <c r="M20" s="20"/>
      <c r="N20" s="20"/>
      <c r="O20" s="20"/>
      <c r="P20" s="20"/>
      <c r="Q20" s="20"/>
      <c r="R20" s="20"/>
      <c r="S20" s="20"/>
      <c r="T20" s="20"/>
      <c r="U20" s="20"/>
      <c r="V20" s="20"/>
      <c r="W20" s="20"/>
      <c r="X20" s="20"/>
    </row>
    <row r="21" ht="15.75" customHeight="1">
      <c r="A21" s="56" t="s">
        <v>231</v>
      </c>
      <c r="B21" s="57">
        <f t="shared" ref="B21:H21" si="6">IFS(B48&lt;25, 2, B48&lt;50, 1.7, B48&lt;75, 1.3, B48&gt;=75, 1)</f>
        <v>1.3</v>
      </c>
      <c r="C21" s="57">
        <f t="shared" si="6"/>
        <v>1</v>
      </c>
      <c r="D21" s="57">
        <f t="shared" si="6"/>
        <v>1.3</v>
      </c>
      <c r="E21" s="57">
        <f t="shared" si="6"/>
        <v>1.3</v>
      </c>
      <c r="F21" s="57">
        <f t="shared" si="6"/>
        <v>1</v>
      </c>
      <c r="G21" s="57">
        <f t="shared" si="6"/>
        <v>1</v>
      </c>
      <c r="H21" s="57">
        <f t="shared" si="6"/>
        <v>1</v>
      </c>
      <c r="I21" s="20"/>
      <c r="J21" s="20"/>
      <c r="K21" s="20"/>
      <c r="L21" s="46"/>
      <c r="M21" s="20"/>
      <c r="N21" s="20"/>
      <c r="O21" s="20"/>
      <c r="P21" s="20"/>
      <c r="Q21" s="20"/>
      <c r="R21" s="20"/>
      <c r="S21" s="20"/>
      <c r="T21" s="20"/>
      <c r="U21" s="20"/>
      <c r="V21" s="20"/>
      <c r="W21" s="20"/>
      <c r="X21" s="20"/>
    </row>
    <row r="22" ht="15.75" customHeight="1">
      <c r="A22" s="56" t="s">
        <v>232</v>
      </c>
      <c r="B22" s="57">
        <f t="shared" ref="B22:H22" si="7">IFS(B49&lt;25, 2, B49&lt;50, 1.7, B49&lt;75, 1.3, B49&gt;=75, 1)</f>
        <v>1.7</v>
      </c>
      <c r="C22" s="57">
        <f t="shared" si="7"/>
        <v>1.3</v>
      </c>
      <c r="D22" s="57">
        <f t="shared" si="7"/>
        <v>2</v>
      </c>
      <c r="E22" s="57">
        <f t="shared" si="7"/>
        <v>1.3</v>
      </c>
      <c r="F22" s="57">
        <f t="shared" si="7"/>
        <v>1.3</v>
      </c>
      <c r="G22" s="57">
        <f t="shared" si="7"/>
        <v>1</v>
      </c>
      <c r="H22" s="57">
        <f t="shared" si="7"/>
        <v>1</v>
      </c>
      <c r="I22" s="20"/>
      <c r="J22" s="20"/>
      <c r="K22" s="20"/>
      <c r="L22" s="46"/>
      <c r="M22" s="20"/>
      <c r="N22" s="20"/>
      <c r="O22" s="20"/>
      <c r="P22" s="20"/>
      <c r="Q22" s="20"/>
      <c r="R22" s="20"/>
      <c r="S22" s="20"/>
      <c r="T22" s="20"/>
      <c r="U22" s="20"/>
      <c r="V22" s="20"/>
      <c r="W22" s="20"/>
      <c r="X22" s="20"/>
    </row>
    <row r="23" ht="15.75" customHeight="1">
      <c r="A23" s="56" t="s">
        <v>233</v>
      </c>
      <c r="B23" s="57">
        <f t="shared" ref="B23:H23" si="8">IFS(B50&lt;25, 2, B50&lt;50, 1.7, B50&lt;75, 1.3, B50&gt;=75, 1)</f>
        <v>1.3</v>
      </c>
      <c r="C23" s="57">
        <f t="shared" si="8"/>
        <v>1.3</v>
      </c>
      <c r="D23" s="57">
        <f t="shared" si="8"/>
        <v>1.3</v>
      </c>
      <c r="E23" s="57">
        <f t="shared" si="8"/>
        <v>1.3</v>
      </c>
      <c r="F23" s="57">
        <f t="shared" si="8"/>
        <v>1.3</v>
      </c>
      <c r="G23" s="57">
        <f t="shared" si="8"/>
        <v>1</v>
      </c>
      <c r="H23" s="57">
        <f t="shared" si="8"/>
        <v>1.3</v>
      </c>
      <c r="I23" s="20"/>
      <c r="J23" s="20"/>
      <c r="K23" s="20"/>
      <c r="L23" s="46"/>
      <c r="M23" s="47"/>
      <c r="N23" s="20"/>
      <c r="O23" s="20"/>
      <c r="P23" s="20"/>
      <c r="Q23" s="20"/>
      <c r="R23" s="20"/>
      <c r="S23" s="20"/>
      <c r="T23" s="20"/>
      <c r="U23" s="20"/>
      <c r="V23" s="20"/>
      <c r="W23" s="20"/>
      <c r="X23" s="20"/>
    </row>
    <row r="24" ht="15.75" customHeight="1">
      <c r="A24" s="56" t="s">
        <v>234</v>
      </c>
      <c r="B24" s="57">
        <f t="shared" ref="B24:H24" si="9">IFS(B51&lt;25, 2, B51&lt;50, 1.7, B51&lt;75, 1.3, B51&gt;=75, 1)</f>
        <v>1.3</v>
      </c>
      <c r="C24" s="57">
        <f t="shared" si="9"/>
        <v>1.3</v>
      </c>
      <c r="D24" s="57">
        <f t="shared" si="9"/>
        <v>1.7</v>
      </c>
      <c r="E24" s="57">
        <f t="shared" si="9"/>
        <v>1.3</v>
      </c>
      <c r="F24" s="57">
        <f t="shared" si="9"/>
        <v>1.3</v>
      </c>
      <c r="G24" s="57">
        <f t="shared" si="9"/>
        <v>1.3</v>
      </c>
      <c r="H24" s="57">
        <f t="shared" si="9"/>
        <v>1</v>
      </c>
      <c r="I24" s="20"/>
      <c r="J24" s="20"/>
      <c r="K24" s="20"/>
      <c r="L24" s="20"/>
      <c r="M24" s="20"/>
      <c r="N24" s="20"/>
      <c r="O24" s="20"/>
      <c r="P24" s="20"/>
      <c r="Q24" s="20"/>
      <c r="R24" s="20"/>
      <c r="S24" s="20"/>
      <c r="T24" s="20"/>
      <c r="U24" s="20"/>
      <c r="V24" s="20"/>
      <c r="W24" s="20"/>
      <c r="X24" s="20"/>
    </row>
    <row r="25" ht="15.75" customHeight="1">
      <c r="A25" s="56" t="s">
        <v>235</v>
      </c>
      <c r="B25" s="57">
        <f t="shared" ref="B25:H25" si="10">IFS(B52&lt;25, 2, B52&lt;50, 1.7, B52&lt;75, 1.3, B52&gt;=75, 1)</f>
        <v>1.3</v>
      </c>
      <c r="C25" s="57">
        <f t="shared" si="10"/>
        <v>1</v>
      </c>
      <c r="D25" s="57">
        <f t="shared" si="10"/>
        <v>1.3</v>
      </c>
      <c r="E25" s="57">
        <f t="shared" si="10"/>
        <v>1.3</v>
      </c>
      <c r="F25" s="57">
        <f t="shared" si="10"/>
        <v>1.3</v>
      </c>
      <c r="G25" s="57">
        <f t="shared" si="10"/>
        <v>1</v>
      </c>
      <c r="H25" s="57">
        <f t="shared" si="10"/>
        <v>1.3</v>
      </c>
      <c r="I25" s="20"/>
      <c r="J25" s="20"/>
      <c r="K25" s="20"/>
      <c r="L25" s="20"/>
      <c r="M25" s="20"/>
      <c r="N25" s="20"/>
      <c r="O25" s="20"/>
      <c r="P25" s="20"/>
      <c r="Q25" s="20"/>
      <c r="R25" s="20"/>
      <c r="S25" s="20"/>
      <c r="T25" s="20"/>
      <c r="U25" s="20"/>
      <c r="V25" s="20"/>
      <c r="W25" s="20"/>
      <c r="X25" s="20"/>
    </row>
    <row r="26" ht="15.75" customHeight="1">
      <c r="A26" s="56" t="s">
        <v>236</v>
      </c>
      <c r="B26" s="57">
        <f t="shared" ref="B26:H26" si="11">IFS(B53&lt;25, 2, B53&lt;50, 1.7, B53&lt;75, 1.3, B53&gt;=75, 1)</f>
        <v>1.3</v>
      </c>
      <c r="C26" s="57">
        <f t="shared" si="11"/>
        <v>1</v>
      </c>
      <c r="D26" s="57">
        <f t="shared" si="11"/>
        <v>1.3</v>
      </c>
      <c r="E26" s="57">
        <f t="shared" si="11"/>
        <v>1</v>
      </c>
      <c r="F26" s="57">
        <f t="shared" si="11"/>
        <v>1.3</v>
      </c>
      <c r="G26" s="57">
        <f t="shared" si="11"/>
        <v>1.3</v>
      </c>
      <c r="H26" s="57">
        <f t="shared" si="11"/>
        <v>1.3</v>
      </c>
      <c r="I26" s="20"/>
      <c r="J26" s="20"/>
      <c r="K26" s="20"/>
      <c r="L26" s="20"/>
      <c r="M26" s="20"/>
      <c r="N26" s="20"/>
      <c r="O26" s="20"/>
      <c r="P26" s="20"/>
      <c r="Q26" s="20"/>
      <c r="R26" s="20"/>
      <c r="S26" s="20"/>
      <c r="T26" s="20"/>
      <c r="U26" s="20"/>
      <c r="V26" s="20"/>
      <c r="W26" s="20"/>
      <c r="X26" s="20"/>
    </row>
    <row r="27" ht="15.75" customHeight="1">
      <c r="A27" s="56" t="s">
        <v>237</v>
      </c>
      <c r="B27" s="57">
        <f t="shared" ref="B27:H27" si="12">IFS(B54&lt;25, 2, B54&lt;50, 1.7, B54&lt;75, 1.3, B54&gt;=75, 1)</f>
        <v>1</v>
      </c>
      <c r="C27" s="57">
        <f t="shared" si="12"/>
        <v>1</v>
      </c>
      <c r="D27" s="57">
        <f t="shared" si="12"/>
        <v>1</v>
      </c>
      <c r="E27" s="57">
        <f t="shared" si="12"/>
        <v>1</v>
      </c>
      <c r="F27" s="57">
        <f t="shared" si="12"/>
        <v>1</v>
      </c>
      <c r="G27" s="57">
        <f t="shared" si="12"/>
        <v>1.3</v>
      </c>
      <c r="H27" s="57">
        <f t="shared" si="12"/>
        <v>1</v>
      </c>
      <c r="I27" s="20"/>
      <c r="J27" s="20"/>
      <c r="K27" s="20"/>
      <c r="L27" s="20"/>
      <c r="M27" s="20"/>
      <c r="N27" s="20"/>
      <c r="O27" s="20"/>
      <c r="P27" s="20"/>
      <c r="Q27" s="20"/>
      <c r="R27" s="20"/>
      <c r="S27" s="20"/>
      <c r="T27" s="20"/>
      <c r="U27" s="20"/>
      <c r="V27" s="20"/>
      <c r="W27" s="20"/>
      <c r="X27" s="20"/>
    </row>
    <row r="28" ht="15.75" customHeight="1">
      <c r="A28" s="56" t="s">
        <v>238</v>
      </c>
      <c r="B28" s="57">
        <f t="shared" ref="B28:H28" si="13">IFS(B55&lt;25, 2, B55&lt;50, 1.7, B55&lt;75, 1.3, B55&gt;=75, 1)</f>
        <v>1</v>
      </c>
      <c r="C28" s="57">
        <f t="shared" si="13"/>
        <v>1</v>
      </c>
      <c r="D28" s="57">
        <f t="shared" si="13"/>
        <v>1.3</v>
      </c>
      <c r="E28" s="57">
        <f t="shared" si="13"/>
        <v>1</v>
      </c>
      <c r="F28" s="57">
        <f t="shared" si="13"/>
        <v>1.3</v>
      </c>
      <c r="G28" s="57">
        <f t="shared" si="13"/>
        <v>1.3</v>
      </c>
      <c r="H28" s="57">
        <f t="shared" si="13"/>
        <v>1.3</v>
      </c>
      <c r="I28" s="20"/>
      <c r="J28" s="20"/>
      <c r="K28" s="20"/>
      <c r="L28" s="20"/>
      <c r="M28" s="20"/>
      <c r="N28" s="20"/>
      <c r="O28" s="20"/>
      <c r="P28" s="20"/>
      <c r="Q28" s="20"/>
      <c r="R28" s="20"/>
      <c r="S28" s="20"/>
      <c r="T28" s="20"/>
      <c r="U28" s="20"/>
      <c r="V28" s="20"/>
      <c r="W28" s="20"/>
      <c r="X28" s="20"/>
    </row>
    <row r="29" ht="15.75" customHeight="1">
      <c r="A29" s="56" t="s">
        <v>239</v>
      </c>
      <c r="B29" s="57">
        <f t="shared" ref="B29:H29" si="14">IFS(B56&lt;25, 2, B56&lt;50, 1.7, B56&lt;75, 1.3, B56&gt;=75, 1)</f>
        <v>1</v>
      </c>
      <c r="C29" s="57">
        <f t="shared" si="14"/>
        <v>1</v>
      </c>
      <c r="D29" s="57">
        <f t="shared" si="14"/>
        <v>1</v>
      </c>
      <c r="E29" s="57">
        <f t="shared" si="14"/>
        <v>1</v>
      </c>
      <c r="F29" s="57">
        <f t="shared" si="14"/>
        <v>1</v>
      </c>
      <c r="G29" s="57">
        <f t="shared" si="14"/>
        <v>1.3</v>
      </c>
      <c r="H29" s="57">
        <f t="shared" si="14"/>
        <v>1.3</v>
      </c>
      <c r="I29" s="20"/>
      <c r="J29" s="20"/>
      <c r="K29" s="20"/>
      <c r="L29" s="20"/>
      <c r="M29" s="20"/>
      <c r="N29" s="20"/>
      <c r="O29" s="20"/>
      <c r="P29" s="20"/>
      <c r="Q29" s="20"/>
      <c r="R29" s="20"/>
      <c r="S29" s="20"/>
      <c r="T29" s="20"/>
      <c r="U29" s="20"/>
      <c r="V29" s="20"/>
      <c r="W29" s="20"/>
      <c r="X29" s="20"/>
    </row>
    <row r="30" ht="15.75" customHeight="1">
      <c r="A30" s="56" t="s">
        <v>240</v>
      </c>
      <c r="B30" s="57">
        <f t="shared" ref="B30:H30" si="15">IFS(B57&lt;25, 2, B57&lt;50, 1.7, B57&lt;75, 1.3, B57&gt;=75, 1)</f>
        <v>1</v>
      </c>
      <c r="C30" s="57">
        <f t="shared" si="15"/>
        <v>1</v>
      </c>
      <c r="D30" s="57">
        <f t="shared" si="15"/>
        <v>1</v>
      </c>
      <c r="E30" s="57">
        <f t="shared" si="15"/>
        <v>1</v>
      </c>
      <c r="F30" s="57">
        <f t="shared" si="15"/>
        <v>1</v>
      </c>
      <c r="G30" s="57">
        <f t="shared" si="15"/>
        <v>1</v>
      </c>
      <c r="H30" s="57">
        <f t="shared" si="15"/>
        <v>1.3</v>
      </c>
      <c r="I30" s="20"/>
      <c r="J30" s="20"/>
      <c r="K30" s="20"/>
      <c r="L30" s="20"/>
      <c r="M30" s="20"/>
      <c r="N30" s="20"/>
      <c r="O30" s="20"/>
      <c r="P30" s="20"/>
      <c r="Q30" s="20"/>
      <c r="R30" s="20"/>
      <c r="S30" s="20"/>
      <c r="T30" s="20"/>
      <c r="U30" s="20"/>
      <c r="V30" s="20"/>
      <c r="W30" s="20"/>
      <c r="X30" s="20"/>
    </row>
    <row r="31" ht="15.75" customHeight="1">
      <c r="A31" s="56" t="s">
        <v>241</v>
      </c>
      <c r="B31" s="57">
        <f t="shared" ref="B31:H31" si="16">IFS(B58&lt;25, 2, B58&lt;50, 1.7, B58&lt;75, 1.3, B58&gt;=75, 1)</f>
        <v>1</v>
      </c>
      <c r="C31" s="57">
        <f t="shared" si="16"/>
        <v>1</v>
      </c>
      <c r="D31" s="57">
        <f t="shared" si="16"/>
        <v>1</v>
      </c>
      <c r="E31" s="57">
        <f t="shared" si="16"/>
        <v>1</v>
      </c>
      <c r="F31" s="57">
        <f t="shared" si="16"/>
        <v>1</v>
      </c>
      <c r="G31" s="57">
        <f t="shared" si="16"/>
        <v>1</v>
      </c>
      <c r="H31" s="57">
        <f t="shared" si="16"/>
        <v>1</v>
      </c>
      <c r="I31" s="20"/>
      <c r="J31" s="20"/>
      <c r="K31" s="20"/>
      <c r="L31" s="20"/>
      <c r="M31" s="20"/>
      <c r="N31" s="20"/>
      <c r="O31" s="20"/>
      <c r="P31" s="20"/>
      <c r="Q31" s="20"/>
      <c r="R31" s="20"/>
      <c r="S31" s="20"/>
      <c r="T31" s="20"/>
      <c r="U31" s="20"/>
      <c r="V31" s="20"/>
      <c r="W31" s="20"/>
      <c r="X31" s="20"/>
    </row>
    <row r="32" ht="15.75" customHeight="1">
      <c r="A32" s="56" t="s">
        <v>242</v>
      </c>
      <c r="B32" s="57">
        <f t="shared" ref="B32:H32" si="17">IFS(B59&lt;25, 2, B59&lt;50, 1.7, B59&lt;75, 1.3, B59&gt;=75, 1)</f>
        <v>1</v>
      </c>
      <c r="C32" s="57">
        <f t="shared" si="17"/>
        <v>1</v>
      </c>
      <c r="D32" s="57">
        <f t="shared" si="17"/>
        <v>1</v>
      </c>
      <c r="E32" s="57">
        <f t="shared" si="17"/>
        <v>1</v>
      </c>
      <c r="F32" s="57">
        <f t="shared" si="17"/>
        <v>1.3</v>
      </c>
      <c r="G32" s="57">
        <f t="shared" si="17"/>
        <v>1</v>
      </c>
      <c r="H32" s="57">
        <f t="shared" si="17"/>
        <v>1</v>
      </c>
      <c r="I32" s="20"/>
      <c r="J32" s="20"/>
      <c r="K32" s="20"/>
      <c r="L32" s="20"/>
      <c r="M32" s="20"/>
      <c r="N32" s="20"/>
      <c r="O32" s="20"/>
      <c r="P32" s="20"/>
      <c r="Q32" s="20"/>
      <c r="R32" s="20"/>
      <c r="S32" s="20"/>
      <c r="T32" s="20"/>
      <c r="U32" s="20"/>
      <c r="V32" s="20"/>
      <c r="W32" s="20"/>
      <c r="X32" s="20"/>
    </row>
    <row r="33" ht="15.75" customHeight="1">
      <c r="A33" s="56" t="s">
        <v>243</v>
      </c>
      <c r="B33" s="57">
        <f t="shared" ref="B33:H33" si="18">IFS(B60&lt;25, 2, B60&lt;50, 1.7, B60&lt;75, 1.3, B60&gt;=75, 1)</f>
        <v>1</v>
      </c>
      <c r="C33" s="57">
        <f t="shared" si="18"/>
        <v>1</v>
      </c>
      <c r="D33" s="57">
        <f t="shared" si="18"/>
        <v>1</v>
      </c>
      <c r="E33" s="57">
        <f t="shared" si="18"/>
        <v>1</v>
      </c>
      <c r="F33" s="57">
        <f t="shared" si="18"/>
        <v>1.3</v>
      </c>
      <c r="G33" s="57">
        <f t="shared" si="18"/>
        <v>1</v>
      </c>
      <c r="H33" s="57">
        <f t="shared" si="18"/>
        <v>1.3</v>
      </c>
      <c r="I33" s="20"/>
      <c r="J33" s="20"/>
      <c r="K33" s="20"/>
      <c r="L33" s="20"/>
      <c r="M33" s="20"/>
      <c r="N33" s="20"/>
      <c r="O33" s="20"/>
      <c r="P33" s="20"/>
      <c r="Q33" s="20"/>
      <c r="R33" s="20"/>
      <c r="S33" s="20"/>
      <c r="T33" s="20"/>
      <c r="U33" s="20"/>
      <c r="V33" s="20"/>
      <c r="W33" s="20"/>
      <c r="X33" s="20"/>
    </row>
    <row r="34" ht="15.75" customHeight="1">
      <c r="A34" s="56" t="s">
        <v>244</v>
      </c>
      <c r="B34" s="57">
        <f t="shared" ref="B34:H34" si="19">IFS(B61&lt;25, 2, B61&lt;50, 1.7, B61&lt;75, 1.3, B61&gt;=75, 1)</f>
        <v>1</v>
      </c>
      <c r="C34" s="57">
        <f t="shared" si="19"/>
        <v>1.3</v>
      </c>
      <c r="D34" s="57">
        <f t="shared" si="19"/>
        <v>1</v>
      </c>
      <c r="E34" s="57">
        <f t="shared" si="19"/>
        <v>1</v>
      </c>
      <c r="F34" s="57">
        <f t="shared" si="19"/>
        <v>1.7</v>
      </c>
      <c r="G34" s="57">
        <f t="shared" si="19"/>
        <v>1</v>
      </c>
      <c r="H34" s="57">
        <f t="shared" si="19"/>
        <v>1</v>
      </c>
      <c r="I34" s="20"/>
      <c r="J34" s="20"/>
      <c r="K34" s="20"/>
      <c r="L34" s="20"/>
      <c r="M34" s="20"/>
      <c r="N34" s="20"/>
      <c r="O34" s="20"/>
      <c r="P34" s="20"/>
      <c r="Q34" s="20"/>
      <c r="R34" s="20"/>
      <c r="S34" s="20"/>
      <c r="T34" s="20"/>
      <c r="U34" s="20"/>
      <c r="V34" s="20"/>
      <c r="W34" s="20"/>
      <c r="X34" s="20"/>
    </row>
    <row r="35" ht="15.75" customHeight="1">
      <c r="A35" s="56" t="s">
        <v>245</v>
      </c>
      <c r="B35" s="57">
        <f t="shared" ref="B35:H35" si="20">IFS(B62&lt;25, 2, B62&lt;50, 1.7, B62&lt;75, 1.3, B62&gt;=75, 1)</f>
        <v>1</v>
      </c>
      <c r="C35" s="57">
        <f t="shared" si="20"/>
        <v>1</v>
      </c>
      <c r="D35" s="57">
        <f t="shared" si="20"/>
        <v>1</v>
      </c>
      <c r="E35" s="57">
        <f t="shared" si="20"/>
        <v>1</v>
      </c>
      <c r="F35" s="57">
        <f t="shared" si="20"/>
        <v>1.3</v>
      </c>
      <c r="G35" s="57">
        <f t="shared" si="20"/>
        <v>1</v>
      </c>
      <c r="H35" s="57">
        <f t="shared" si="20"/>
        <v>1</v>
      </c>
      <c r="I35" s="20"/>
      <c r="J35" s="20"/>
      <c r="K35" s="20"/>
      <c r="L35" s="20"/>
      <c r="M35" s="20"/>
      <c r="N35" s="20"/>
      <c r="O35" s="20"/>
      <c r="P35" s="20"/>
      <c r="Q35" s="20"/>
      <c r="R35" s="20"/>
      <c r="S35" s="20"/>
      <c r="T35" s="20"/>
      <c r="U35" s="20"/>
      <c r="V35" s="20"/>
      <c r="W35" s="20"/>
      <c r="X35" s="20"/>
    </row>
    <row r="36" ht="15.75" customHeight="1">
      <c r="A36" s="56" t="s">
        <v>246</v>
      </c>
      <c r="B36" s="57">
        <f t="shared" ref="B36:H36" si="21">IFS(B63&lt;25, 2, B63&lt;50, 1.7, B63&lt;75, 1.3, B63&gt;=75, 1)</f>
        <v>1</v>
      </c>
      <c r="C36" s="57">
        <f t="shared" si="21"/>
        <v>1</v>
      </c>
      <c r="D36" s="57">
        <f t="shared" si="21"/>
        <v>1</v>
      </c>
      <c r="E36" s="57">
        <f t="shared" si="21"/>
        <v>1</v>
      </c>
      <c r="F36" s="57">
        <f t="shared" si="21"/>
        <v>1.3</v>
      </c>
      <c r="G36" s="57">
        <f t="shared" si="21"/>
        <v>1</v>
      </c>
      <c r="H36" s="57">
        <f t="shared" si="21"/>
        <v>1</v>
      </c>
      <c r="I36" s="20"/>
      <c r="J36" s="20"/>
      <c r="K36" s="20"/>
      <c r="L36" s="20"/>
      <c r="M36" s="20"/>
      <c r="N36" s="20"/>
      <c r="O36" s="20"/>
      <c r="P36" s="20"/>
      <c r="Q36" s="20"/>
      <c r="R36" s="20"/>
      <c r="S36" s="20"/>
      <c r="T36" s="20"/>
      <c r="U36" s="20"/>
      <c r="V36" s="20"/>
      <c r="W36" s="20"/>
      <c r="X36" s="20"/>
    </row>
    <row r="37" ht="15.75" customHeight="1">
      <c r="A37" s="56" t="s">
        <v>247</v>
      </c>
      <c r="B37" s="57">
        <f t="shared" ref="B37:H37" si="22">IFS(B64&lt;25, 2, B64&lt;50, 1.7, B64&lt;75, 1.3, B64&gt;=75, 1)</f>
        <v>1</v>
      </c>
      <c r="C37" s="57">
        <f t="shared" si="22"/>
        <v>1</v>
      </c>
      <c r="D37" s="57">
        <f t="shared" si="22"/>
        <v>1</v>
      </c>
      <c r="E37" s="57">
        <f t="shared" si="22"/>
        <v>1</v>
      </c>
      <c r="F37" s="57">
        <f t="shared" si="22"/>
        <v>1</v>
      </c>
      <c r="G37" s="57">
        <f t="shared" si="22"/>
        <v>1</v>
      </c>
      <c r="H37" s="57">
        <f t="shared" si="22"/>
        <v>1</v>
      </c>
      <c r="I37" s="20"/>
      <c r="J37" s="20"/>
      <c r="K37" s="20"/>
      <c r="L37" s="20"/>
      <c r="M37" s="20"/>
      <c r="N37" s="20"/>
      <c r="O37" s="20"/>
      <c r="P37" s="20"/>
      <c r="Q37" s="20"/>
      <c r="R37" s="20"/>
      <c r="S37" s="20"/>
      <c r="T37" s="20"/>
      <c r="U37" s="20"/>
      <c r="V37" s="20"/>
      <c r="W37" s="20"/>
      <c r="X37" s="20"/>
    </row>
    <row r="38" ht="15.75" customHeight="1">
      <c r="A38" s="56" t="s">
        <v>248</v>
      </c>
      <c r="B38" s="57">
        <f t="shared" ref="B38:H38" si="23">IFS(B65&lt;25, 2, B65&lt;50, 1.7, B65&lt;75, 1.3, B65&gt;=75, 1)</f>
        <v>1</v>
      </c>
      <c r="C38" s="57">
        <f t="shared" si="23"/>
        <v>1</v>
      </c>
      <c r="D38" s="57">
        <f t="shared" si="23"/>
        <v>1</v>
      </c>
      <c r="E38" s="57">
        <f t="shared" si="23"/>
        <v>1</v>
      </c>
      <c r="F38" s="57">
        <f t="shared" si="23"/>
        <v>1</v>
      </c>
      <c r="G38" s="57">
        <f t="shared" si="23"/>
        <v>1</v>
      </c>
      <c r="H38" s="57">
        <f t="shared" si="23"/>
        <v>1</v>
      </c>
      <c r="I38" s="20"/>
      <c r="J38" s="20"/>
      <c r="K38" s="20"/>
      <c r="L38" s="20"/>
      <c r="M38" s="20"/>
      <c r="N38" s="20"/>
      <c r="O38" s="20"/>
      <c r="P38" s="20"/>
      <c r="Q38" s="20"/>
      <c r="R38" s="20"/>
      <c r="S38" s="20"/>
      <c r="T38" s="20"/>
      <c r="U38" s="20"/>
      <c r="V38" s="20"/>
      <c r="W38" s="20"/>
      <c r="X38" s="20"/>
    </row>
    <row r="39" ht="15.75" customHeight="1">
      <c r="A39" s="56" t="s">
        <v>249</v>
      </c>
      <c r="B39" s="57">
        <f t="shared" ref="B39:H39" si="24">IFS(B66&lt;25, 2, B66&lt;50, 1.7, B66&lt;75, 1.3, B66&gt;=75, 1)</f>
        <v>1</v>
      </c>
      <c r="C39" s="57">
        <f t="shared" si="24"/>
        <v>1.3</v>
      </c>
      <c r="D39" s="57">
        <f t="shared" si="24"/>
        <v>1</v>
      </c>
      <c r="E39" s="57">
        <f t="shared" si="24"/>
        <v>1</v>
      </c>
      <c r="F39" s="57">
        <f t="shared" si="24"/>
        <v>1.3</v>
      </c>
      <c r="G39" s="57">
        <f t="shared" si="24"/>
        <v>1.3</v>
      </c>
      <c r="H39" s="57">
        <f t="shared" si="24"/>
        <v>1</v>
      </c>
      <c r="I39" s="20"/>
      <c r="J39" s="20"/>
      <c r="K39" s="20"/>
      <c r="L39" s="20"/>
      <c r="M39" s="20"/>
      <c r="N39" s="20"/>
      <c r="O39" s="20"/>
      <c r="P39" s="20"/>
      <c r="Q39" s="20"/>
      <c r="R39" s="20"/>
      <c r="S39" s="20"/>
      <c r="T39" s="20"/>
      <c r="U39" s="20"/>
      <c r="V39" s="20"/>
      <c r="W39" s="20"/>
      <c r="X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row>
    <row r="42" ht="41.25" customHeight="1">
      <c r="A42" s="37" t="s">
        <v>217</v>
      </c>
      <c r="B42" s="58" t="s">
        <v>218</v>
      </c>
      <c r="C42" s="58" t="s">
        <v>219</v>
      </c>
      <c r="D42" s="58" t="s">
        <v>220</v>
      </c>
      <c r="E42" s="58" t="s">
        <v>221</v>
      </c>
      <c r="F42" s="58" t="s">
        <v>222</v>
      </c>
      <c r="G42" s="58" t="s">
        <v>223</v>
      </c>
      <c r="H42" s="58" t="s">
        <v>224</v>
      </c>
      <c r="I42" s="20"/>
      <c r="J42" s="20"/>
      <c r="K42" s="20"/>
      <c r="L42" s="20"/>
      <c r="M42" s="20"/>
      <c r="N42" s="20"/>
      <c r="O42" s="20"/>
      <c r="P42" s="20"/>
      <c r="Q42" s="20"/>
      <c r="R42" s="20"/>
      <c r="S42" s="20"/>
      <c r="T42" s="20"/>
      <c r="U42" s="20"/>
      <c r="V42" s="20"/>
      <c r="W42" s="20"/>
      <c r="X42" s="20"/>
    </row>
    <row r="43" ht="15.75" customHeight="1">
      <c r="A43" s="59" t="s">
        <v>226</v>
      </c>
      <c r="B43" s="60">
        <v>81.0</v>
      </c>
      <c r="C43" s="60">
        <v>94.0</v>
      </c>
      <c r="D43" s="60">
        <v>91.0</v>
      </c>
      <c r="E43" s="60">
        <v>81.0</v>
      </c>
      <c r="F43" s="60">
        <v>76.0</v>
      </c>
      <c r="G43" s="60">
        <v>57.0</v>
      </c>
      <c r="H43" s="60">
        <v>79.0</v>
      </c>
      <c r="I43" s="20"/>
      <c r="J43" s="20"/>
      <c r="K43" s="20"/>
      <c r="L43" s="20"/>
      <c r="M43" s="20"/>
      <c r="N43" s="20"/>
      <c r="O43" s="20"/>
      <c r="P43" s="20"/>
      <c r="Q43" s="20"/>
      <c r="R43" s="20"/>
      <c r="S43" s="20"/>
      <c r="T43" s="20"/>
      <c r="U43" s="20"/>
      <c r="V43" s="20"/>
      <c r="W43" s="20"/>
      <c r="X43" s="20"/>
    </row>
    <row r="44" ht="15.75" customHeight="1">
      <c r="A44" s="59" t="s">
        <v>227</v>
      </c>
      <c r="B44" s="60">
        <v>76.0</v>
      </c>
      <c r="C44" s="60">
        <v>83.0</v>
      </c>
      <c r="D44" s="60">
        <v>78.0</v>
      </c>
      <c r="E44" s="60">
        <v>73.0</v>
      </c>
      <c r="F44" s="60">
        <v>75.0</v>
      </c>
      <c r="G44" s="60">
        <v>90.0</v>
      </c>
      <c r="H44" s="60">
        <v>84.0</v>
      </c>
      <c r="I44" s="20"/>
      <c r="J44" s="20"/>
      <c r="K44" s="20"/>
      <c r="L44" s="20"/>
      <c r="M44" s="20"/>
      <c r="N44" s="20"/>
      <c r="O44" s="20"/>
      <c r="P44" s="20"/>
      <c r="Q44" s="20"/>
      <c r="R44" s="20"/>
      <c r="S44" s="20"/>
      <c r="T44" s="20"/>
      <c r="U44" s="20"/>
      <c r="V44" s="20"/>
      <c r="W44" s="20"/>
      <c r="X44" s="20"/>
    </row>
    <row r="45" ht="15.75" customHeight="1">
      <c r="A45" s="59" t="s">
        <v>228</v>
      </c>
      <c r="B45" s="60">
        <v>50.0</v>
      </c>
      <c r="C45" s="60">
        <v>56.0</v>
      </c>
      <c r="D45" s="60">
        <v>80.0</v>
      </c>
      <c r="E45" s="60">
        <v>60.0</v>
      </c>
      <c r="F45" s="60">
        <v>92.0</v>
      </c>
      <c r="G45" s="60">
        <v>94.0</v>
      </c>
      <c r="H45" s="60">
        <v>79.0</v>
      </c>
      <c r="I45" s="20"/>
      <c r="J45" s="20"/>
      <c r="K45" s="20"/>
      <c r="L45" s="20"/>
      <c r="M45" s="20"/>
      <c r="N45" s="20"/>
      <c r="O45" s="20"/>
      <c r="P45" s="20"/>
      <c r="Q45" s="20"/>
      <c r="R45" s="20"/>
      <c r="S45" s="20"/>
      <c r="T45" s="20"/>
      <c r="U45" s="20"/>
      <c r="V45" s="20"/>
      <c r="W45" s="20"/>
      <c r="X45" s="20"/>
    </row>
    <row r="46" ht="15.75" customHeight="1">
      <c r="A46" s="59" t="s">
        <v>229</v>
      </c>
      <c r="B46" s="60">
        <v>0.0</v>
      </c>
      <c r="C46" s="60">
        <v>44.0</v>
      </c>
      <c r="D46" s="60">
        <v>56.0</v>
      </c>
      <c r="E46" s="60">
        <v>100.0</v>
      </c>
      <c r="F46" s="60">
        <v>67.0</v>
      </c>
      <c r="G46" s="60">
        <v>70.0</v>
      </c>
      <c r="H46" s="60">
        <v>67.0</v>
      </c>
      <c r="I46" s="20"/>
      <c r="J46" s="20"/>
      <c r="K46" s="20"/>
      <c r="L46" s="20"/>
      <c r="M46" s="20"/>
      <c r="N46" s="20"/>
      <c r="O46" s="20"/>
      <c r="P46" s="20"/>
      <c r="Q46" s="20"/>
      <c r="R46" s="20"/>
      <c r="S46" s="20"/>
      <c r="T46" s="20"/>
      <c r="U46" s="20"/>
      <c r="V46" s="20"/>
      <c r="W46" s="20"/>
      <c r="X46" s="20"/>
    </row>
    <row r="47" ht="15.75" customHeight="1">
      <c r="A47" s="59" t="s">
        <v>230</v>
      </c>
      <c r="B47" s="60">
        <v>50.0</v>
      </c>
      <c r="C47" s="60">
        <v>57.0</v>
      </c>
      <c r="D47" s="60">
        <v>43.0</v>
      </c>
      <c r="E47" s="60">
        <v>50.0</v>
      </c>
      <c r="F47" s="60">
        <v>20.0</v>
      </c>
      <c r="G47" s="60">
        <v>55.0</v>
      </c>
      <c r="H47" s="60">
        <v>45.0</v>
      </c>
      <c r="I47" s="20"/>
      <c r="J47" s="20"/>
      <c r="K47" s="20"/>
      <c r="L47" s="20"/>
      <c r="M47" s="20"/>
      <c r="N47" s="20"/>
      <c r="O47" s="20"/>
      <c r="P47" s="20"/>
      <c r="Q47" s="20"/>
      <c r="R47" s="20"/>
      <c r="S47" s="20"/>
      <c r="T47" s="20"/>
      <c r="U47" s="20"/>
      <c r="V47" s="20"/>
      <c r="W47" s="20"/>
      <c r="X47" s="20"/>
    </row>
    <row r="48" ht="15.75" customHeight="1">
      <c r="A48" s="59" t="s">
        <v>231</v>
      </c>
      <c r="B48" s="60">
        <v>50.0</v>
      </c>
      <c r="C48" s="60">
        <v>100.0</v>
      </c>
      <c r="D48" s="60">
        <v>50.0</v>
      </c>
      <c r="E48" s="60">
        <v>60.0</v>
      </c>
      <c r="F48" s="60">
        <v>83.0</v>
      </c>
      <c r="G48" s="60">
        <v>77.0</v>
      </c>
      <c r="H48" s="60">
        <v>85.0</v>
      </c>
      <c r="I48" s="20"/>
      <c r="J48" s="20"/>
      <c r="K48" s="20"/>
      <c r="L48" s="20"/>
      <c r="M48" s="20"/>
      <c r="N48" s="20"/>
      <c r="O48" s="20"/>
      <c r="P48" s="20"/>
      <c r="Q48" s="20"/>
      <c r="R48" s="20"/>
      <c r="S48" s="20"/>
      <c r="T48" s="20"/>
      <c r="U48" s="20"/>
      <c r="V48" s="20"/>
      <c r="W48" s="20"/>
      <c r="X48" s="20"/>
    </row>
    <row r="49" ht="15.75" customHeight="1">
      <c r="A49" s="59" t="s">
        <v>232</v>
      </c>
      <c r="B49" s="60">
        <v>36.0</v>
      </c>
      <c r="C49" s="60">
        <v>73.0</v>
      </c>
      <c r="D49" s="60">
        <v>18.0</v>
      </c>
      <c r="E49" s="60">
        <v>57.0</v>
      </c>
      <c r="F49" s="60">
        <v>60.0</v>
      </c>
      <c r="G49" s="60">
        <v>83.0</v>
      </c>
      <c r="H49" s="60">
        <v>80.0</v>
      </c>
      <c r="I49" s="20"/>
      <c r="J49" s="20"/>
      <c r="K49" s="20"/>
      <c r="L49" s="20"/>
      <c r="M49" s="20"/>
      <c r="N49" s="20"/>
      <c r="O49" s="20"/>
      <c r="P49" s="20"/>
      <c r="Q49" s="20"/>
      <c r="R49" s="20"/>
      <c r="S49" s="20"/>
      <c r="T49" s="20"/>
      <c r="U49" s="20"/>
      <c r="V49" s="20"/>
      <c r="W49" s="20"/>
      <c r="X49" s="20"/>
    </row>
    <row r="50" ht="15.75" customHeight="1">
      <c r="A50" s="59" t="s">
        <v>233</v>
      </c>
      <c r="B50" s="60">
        <v>56.0</v>
      </c>
      <c r="C50" s="60">
        <v>69.0</v>
      </c>
      <c r="D50" s="60">
        <v>53.0</v>
      </c>
      <c r="E50" s="60">
        <v>52.0</v>
      </c>
      <c r="F50" s="60">
        <v>55.0</v>
      </c>
      <c r="G50" s="60">
        <v>78.0</v>
      </c>
      <c r="H50" s="60">
        <v>71.0</v>
      </c>
      <c r="I50" s="20"/>
      <c r="J50" s="20"/>
      <c r="K50" s="20"/>
      <c r="L50" s="20"/>
      <c r="M50" s="20"/>
      <c r="N50" s="20"/>
      <c r="O50" s="20"/>
      <c r="P50" s="20"/>
      <c r="Q50" s="20"/>
      <c r="R50" s="20"/>
      <c r="S50" s="20"/>
      <c r="T50" s="20"/>
      <c r="U50" s="20"/>
      <c r="V50" s="20"/>
      <c r="W50" s="20"/>
      <c r="X50" s="20"/>
    </row>
    <row r="51" ht="15.75" customHeight="1">
      <c r="A51" s="59" t="s">
        <v>234</v>
      </c>
      <c r="B51" s="60">
        <v>53.0</v>
      </c>
      <c r="C51" s="60">
        <v>68.0</v>
      </c>
      <c r="D51" s="60">
        <v>39.0</v>
      </c>
      <c r="E51" s="60">
        <v>56.0</v>
      </c>
      <c r="F51" s="60">
        <v>65.0</v>
      </c>
      <c r="G51" s="60">
        <v>59.0</v>
      </c>
      <c r="H51" s="60">
        <v>79.0</v>
      </c>
      <c r="I51" s="20"/>
      <c r="J51" s="20"/>
      <c r="K51" s="20"/>
      <c r="L51" s="20"/>
      <c r="M51" s="20"/>
      <c r="N51" s="20"/>
      <c r="O51" s="20"/>
      <c r="P51" s="20"/>
      <c r="Q51" s="20"/>
      <c r="R51" s="20"/>
      <c r="S51" s="20"/>
      <c r="T51" s="20"/>
      <c r="U51" s="20"/>
      <c r="V51" s="20"/>
      <c r="W51" s="20"/>
      <c r="X51" s="20"/>
    </row>
    <row r="52" ht="15.75" customHeight="1">
      <c r="A52" s="59" t="s">
        <v>235</v>
      </c>
      <c r="B52" s="60">
        <v>58.0</v>
      </c>
      <c r="C52" s="60">
        <v>76.0</v>
      </c>
      <c r="D52" s="60">
        <v>51.0</v>
      </c>
      <c r="E52" s="60">
        <v>57.0</v>
      </c>
      <c r="F52" s="60">
        <v>67.0</v>
      </c>
      <c r="G52" s="60">
        <v>79.0</v>
      </c>
      <c r="H52" s="60">
        <v>59.0</v>
      </c>
      <c r="I52" s="20"/>
      <c r="J52" s="20"/>
      <c r="K52" s="20"/>
      <c r="L52" s="20"/>
      <c r="M52" s="20"/>
      <c r="N52" s="20"/>
      <c r="O52" s="20"/>
      <c r="P52" s="20"/>
      <c r="Q52" s="20"/>
      <c r="R52" s="20"/>
      <c r="S52" s="20"/>
      <c r="T52" s="20"/>
      <c r="U52" s="20"/>
      <c r="V52" s="20"/>
      <c r="W52" s="20"/>
      <c r="X52" s="20"/>
    </row>
    <row r="53" ht="15.75" customHeight="1">
      <c r="A53" s="59" t="s">
        <v>236</v>
      </c>
      <c r="B53" s="60">
        <v>56.0</v>
      </c>
      <c r="C53" s="60">
        <v>76.0</v>
      </c>
      <c r="D53" s="60">
        <v>67.0</v>
      </c>
      <c r="E53" s="60">
        <v>79.0</v>
      </c>
      <c r="F53" s="60">
        <v>67.0</v>
      </c>
      <c r="G53" s="60">
        <v>66.0</v>
      </c>
      <c r="H53" s="60">
        <v>54.0</v>
      </c>
      <c r="I53" s="20"/>
      <c r="J53" s="20"/>
      <c r="K53" s="20"/>
      <c r="L53" s="20"/>
      <c r="M53" s="20"/>
      <c r="N53" s="20"/>
      <c r="O53" s="20"/>
      <c r="P53" s="20"/>
      <c r="Q53" s="20"/>
      <c r="R53" s="20"/>
      <c r="S53" s="20"/>
      <c r="T53" s="20"/>
      <c r="U53" s="20"/>
      <c r="V53" s="20"/>
      <c r="W53" s="20"/>
      <c r="X53" s="20"/>
    </row>
    <row r="54" ht="15.75" customHeight="1">
      <c r="A54" s="59" t="s">
        <v>237</v>
      </c>
      <c r="B54" s="60">
        <v>77.0</v>
      </c>
      <c r="C54" s="60">
        <v>86.0</v>
      </c>
      <c r="D54" s="60">
        <v>80.0</v>
      </c>
      <c r="E54" s="60">
        <v>89.0</v>
      </c>
      <c r="F54" s="60">
        <v>79.0</v>
      </c>
      <c r="G54" s="60">
        <v>51.0</v>
      </c>
      <c r="H54" s="60">
        <v>85.0</v>
      </c>
      <c r="I54" s="20"/>
      <c r="J54" s="20"/>
      <c r="K54" s="20"/>
      <c r="L54" s="20"/>
      <c r="M54" s="20"/>
      <c r="N54" s="20"/>
      <c r="O54" s="20"/>
      <c r="P54" s="20"/>
      <c r="Q54" s="20"/>
      <c r="R54" s="20"/>
      <c r="S54" s="20"/>
      <c r="T54" s="20"/>
      <c r="U54" s="20"/>
      <c r="V54" s="20"/>
      <c r="W54" s="20"/>
      <c r="X54" s="20"/>
    </row>
    <row r="55" ht="15.75" customHeight="1">
      <c r="A55" s="59" t="s">
        <v>238</v>
      </c>
      <c r="B55" s="60">
        <v>82.0</v>
      </c>
      <c r="C55" s="60">
        <v>88.0</v>
      </c>
      <c r="D55" s="60">
        <v>71.0</v>
      </c>
      <c r="E55" s="60">
        <v>85.0</v>
      </c>
      <c r="F55" s="60">
        <v>73.0</v>
      </c>
      <c r="G55" s="60">
        <v>52.0</v>
      </c>
      <c r="H55" s="60">
        <v>71.0</v>
      </c>
      <c r="I55" s="20"/>
      <c r="J55" s="20"/>
      <c r="K55" s="20"/>
      <c r="L55" s="20"/>
      <c r="M55" s="20"/>
      <c r="N55" s="20"/>
      <c r="O55" s="20"/>
      <c r="P55" s="20"/>
      <c r="Q55" s="20"/>
      <c r="R55" s="20"/>
      <c r="S55" s="20"/>
      <c r="T55" s="20"/>
      <c r="U55" s="20"/>
      <c r="V55" s="20"/>
      <c r="W55" s="20"/>
      <c r="X55" s="20"/>
    </row>
    <row r="56" ht="15.75" customHeight="1">
      <c r="A56" s="59" t="s">
        <v>239</v>
      </c>
      <c r="B56" s="60">
        <v>82.0</v>
      </c>
      <c r="C56" s="60">
        <v>91.0</v>
      </c>
      <c r="D56" s="60">
        <v>87.0</v>
      </c>
      <c r="E56" s="60">
        <v>89.0</v>
      </c>
      <c r="F56" s="60">
        <v>79.0</v>
      </c>
      <c r="G56" s="60">
        <v>66.0</v>
      </c>
      <c r="H56" s="60">
        <v>70.0</v>
      </c>
      <c r="I56" s="20"/>
      <c r="J56" s="20"/>
      <c r="K56" s="20"/>
      <c r="L56" s="20"/>
      <c r="M56" s="20"/>
      <c r="N56" s="20"/>
      <c r="O56" s="20"/>
      <c r="P56" s="20"/>
      <c r="Q56" s="20"/>
      <c r="R56" s="20"/>
      <c r="S56" s="20"/>
      <c r="T56" s="20"/>
      <c r="U56" s="20"/>
      <c r="V56" s="20"/>
      <c r="W56" s="20"/>
      <c r="X56" s="20"/>
    </row>
    <row r="57" ht="15.75" customHeight="1">
      <c r="A57" s="59" t="s">
        <v>240</v>
      </c>
      <c r="B57" s="60">
        <v>88.0</v>
      </c>
      <c r="C57" s="60">
        <v>84.0</v>
      </c>
      <c r="D57" s="60">
        <v>92.0</v>
      </c>
      <c r="E57" s="60">
        <v>88.0</v>
      </c>
      <c r="F57" s="60">
        <v>78.0</v>
      </c>
      <c r="G57" s="60">
        <v>82.0</v>
      </c>
      <c r="H57" s="60">
        <v>69.0</v>
      </c>
      <c r="I57" s="20"/>
      <c r="J57" s="20"/>
      <c r="K57" s="20"/>
      <c r="L57" s="20"/>
      <c r="M57" s="20"/>
      <c r="N57" s="20"/>
      <c r="O57" s="20"/>
      <c r="P57" s="20"/>
      <c r="Q57" s="20"/>
      <c r="R57" s="20"/>
      <c r="S57" s="20"/>
      <c r="T57" s="20"/>
      <c r="U57" s="20"/>
      <c r="V57" s="20"/>
      <c r="W57" s="20"/>
      <c r="X57" s="20"/>
    </row>
    <row r="58" ht="15.75" customHeight="1">
      <c r="A58" s="59" t="s">
        <v>241</v>
      </c>
      <c r="B58" s="60">
        <v>91.0</v>
      </c>
      <c r="C58" s="60">
        <v>95.0</v>
      </c>
      <c r="D58" s="60">
        <v>84.0</v>
      </c>
      <c r="E58" s="60">
        <v>77.0</v>
      </c>
      <c r="F58" s="60">
        <v>82.0</v>
      </c>
      <c r="G58" s="60">
        <v>94.0</v>
      </c>
      <c r="H58" s="60">
        <v>82.0</v>
      </c>
      <c r="I58" s="20"/>
      <c r="J58" s="20"/>
      <c r="K58" s="20"/>
      <c r="L58" s="20"/>
      <c r="M58" s="20"/>
      <c r="N58" s="20"/>
      <c r="O58" s="20"/>
      <c r="P58" s="20"/>
      <c r="Q58" s="20"/>
      <c r="R58" s="20"/>
      <c r="S58" s="20"/>
      <c r="T58" s="20"/>
      <c r="U58" s="20"/>
      <c r="V58" s="20"/>
      <c r="W58" s="20"/>
      <c r="X58" s="20"/>
    </row>
    <row r="59" ht="15.75" customHeight="1">
      <c r="A59" s="59" t="s">
        <v>242</v>
      </c>
      <c r="B59" s="60">
        <v>100.0</v>
      </c>
      <c r="C59" s="60">
        <v>92.0</v>
      </c>
      <c r="D59" s="60">
        <v>83.0</v>
      </c>
      <c r="E59" s="60">
        <v>84.0</v>
      </c>
      <c r="F59" s="60">
        <v>63.0</v>
      </c>
      <c r="G59" s="60">
        <v>76.0</v>
      </c>
      <c r="H59" s="60">
        <v>81.0</v>
      </c>
      <c r="I59" s="20"/>
      <c r="J59" s="20"/>
      <c r="K59" s="20"/>
      <c r="L59" s="20"/>
      <c r="M59" s="20"/>
      <c r="N59" s="20"/>
      <c r="O59" s="20"/>
      <c r="P59" s="20"/>
      <c r="Q59" s="20"/>
      <c r="R59" s="20"/>
      <c r="S59" s="20"/>
      <c r="T59" s="20"/>
      <c r="U59" s="20"/>
      <c r="V59" s="20"/>
      <c r="W59" s="20"/>
      <c r="X59" s="20"/>
    </row>
    <row r="60" ht="15.75" customHeight="1">
      <c r="A60" s="59" t="s">
        <v>243</v>
      </c>
      <c r="B60" s="60">
        <v>97.0</v>
      </c>
      <c r="C60" s="60">
        <v>80.0</v>
      </c>
      <c r="D60" s="60">
        <v>92.0</v>
      </c>
      <c r="E60" s="60">
        <v>84.0</v>
      </c>
      <c r="F60" s="60">
        <v>62.0</v>
      </c>
      <c r="G60" s="60">
        <v>82.0</v>
      </c>
      <c r="H60" s="60">
        <v>68.0</v>
      </c>
      <c r="I60" s="20"/>
      <c r="J60" s="20"/>
      <c r="K60" s="20"/>
      <c r="L60" s="20"/>
      <c r="M60" s="20"/>
      <c r="N60" s="20"/>
      <c r="O60" s="20"/>
      <c r="P60" s="20"/>
      <c r="Q60" s="20"/>
      <c r="R60" s="20"/>
      <c r="S60" s="20"/>
      <c r="T60" s="20"/>
      <c r="U60" s="20"/>
      <c r="V60" s="20"/>
      <c r="W60" s="20"/>
      <c r="X60" s="20"/>
    </row>
    <row r="61" ht="15.75" customHeight="1">
      <c r="A61" s="59" t="s">
        <v>244</v>
      </c>
      <c r="B61" s="60">
        <v>96.0</v>
      </c>
      <c r="C61" s="60">
        <v>55.0</v>
      </c>
      <c r="D61" s="60">
        <v>81.0</v>
      </c>
      <c r="E61" s="60">
        <v>91.0</v>
      </c>
      <c r="F61" s="60">
        <v>45.0</v>
      </c>
      <c r="G61" s="60">
        <v>80.0</v>
      </c>
      <c r="H61" s="60">
        <v>85.0</v>
      </c>
      <c r="I61" s="20"/>
      <c r="J61" s="20"/>
      <c r="K61" s="20"/>
      <c r="L61" s="20"/>
      <c r="M61" s="20"/>
      <c r="N61" s="20"/>
      <c r="O61" s="20"/>
      <c r="P61" s="20"/>
      <c r="Q61" s="20"/>
      <c r="R61" s="20"/>
      <c r="S61" s="20"/>
      <c r="T61" s="20"/>
      <c r="U61" s="20"/>
      <c r="V61" s="20"/>
      <c r="W61" s="20"/>
      <c r="X61" s="20"/>
    </row>
    <row r="62" ht="15.75" customHeight="1">
      <c r="A62" s="59" t="s">
        <v>245</v>
      </c>
      <c r="B62" s="60">
        <v>84.0</v>
      </c>
      <c r="C62" s="60">
        <v>85.0</v>
      </c>
      <c r="D62" s="60">
        <v>84.0</v>
      </c>
      <c r="E62" s="60">
        <v>84.0</v>
      </c>
      <c r="F62" s="60">
        <v>64.0</v>
      </c>
      <c r="G62" s="60">
        <v>77.0</v>
      </c>
      <c r="H62" s="60">
        <v>84.0</v>
      </c>
      <c r="I62" s="20"/>
      <c r="J62" s="20"/>
      <c r="K62" s="20"/>
      <c r="L62" s="20"/>
      <c r="M62" s="20"/>
      <c r="N62" s="20"/>
      <c r="O62" s="20"/>
      <c r="P62" s="20"/>
      <c r="Q62" s="20"/>
      <c r="R62" s="20"/>
      <c r="S62" s="20"/>
      <c r="T62" s="20"/>
      <c r="U62" s="20"/>
      <c r="V62" s="20"/>
      <c r="W62" s="20"/>
      <c r="X62" s="20"/>
    </row>
    <row r="63" ht="15.75" customHeight="1">
      <c r="A63" s="59" t="s">
        <v>246</v>
      </c>
      <c r="B63" s="60">
        <v>87.0</v>
      </c>
      <c r="C63" s="60">
        <v>79.0</v>
      </c>
      <c r="D63" s="60">
        <v>94.0</v>
      </c>
      <c r="E63" s="60">
        <v>89.0</v>
      </c>
      <c r="F63" s="60">
        <v>58.0</v>
      </c>
      <c r="G63" s="60">
        <v>79.0</v>
      </c>
      <c r="H63" s="60">
        <v>89.0</v>
      </c>
      <c r="I63" s="20"/>
      <c r="J63" s="20"/>
      <c r="K63" s="20"/>
      <c r="L63" s="20"/>
      <c r="M63" s="20"/>
      <c r="N63" s="20"/>
      <c r="O63" s="20"/>
      <c r="P63" s="20"/>
      <c r="Q63" s="20"/>
      <c r="R63" s="20"/>
      <c r="S63" s="20"/>
      <c r="T63" s="20"/>
      <c r="U63" s="20"/>
      <c r="V63" s="20"/>
      <c r="W63" s="20"/>
      <c r="X63" s="20"/>
    </row>
    <row r="64" ht="15.75" customHeight="1">
      <c r="A64" s="59" t="s">
        <v>247</v>
      </c>
      <c r="B64" s="60">
        <v>85.0</v>
      </c>
      <c r="C64" s="60">
        <v>82.0</v>
      </c>
      <c r="D64" s="60">
        <v>93.0</v>
      </c>
      <c r="E64" s="60">
        <v>94.0</v>
      </c>
      <c r="F64" s="60">
        <v>75.0</v>
      </c>
      <c r="G64" s="60">
        <v>91.0</v>
      </c>
      <c r="H64" s="60">
        <v>76.0</v>
      </c>
      <c r="I64" s="20"/>
      <c r="J64" s="20"/>
      <c r="K64" s="20"/>
      <c r="L64" s="20"/>
      <c r="M64" s="20"/>
      <c r="N64" s="20"/>
      <c r="O64" s="20"/>
      <c r="P64" s="20"/>
      <c r="Q64" s="20"/>
      <c r="R64" s="20"/>
      <c r="S64" s="20"/>
      <c r="T64" s="20"/>
      <c r="U64" s="20"/>
      <c r="V64" s="20"/>
      <c r="W64" s="20"/>
      <c r="X64" s="20"/>
    </row>
    <row r="65" ht="15.75" customHeight="1">
      <c r="A65" s="59" t="s">
        <v>248</v>
      </c>
      <c r="B65" s="60">
        <v>87.0</v>
      </c>
      <c r="C65" s="60">
        <v>75.0</v>
      </c>
      <c r="D65" s="60">
        <v>95.0</v>
      </c>
      <c r="E65" s="60">
        <v>85.0</v>
      </c>
      <c r="F65" s="60">
        <v>89.0</v>
      </c>
      <c r="G65" s="60">
        <v>81.0</v>
      </c>
      <c r="H65" s="60">
        <v>87.0</v>
      </c>
      <c r="I65" s="20"/>
      <c r="J65" s="20"/>
      <c r="K65" s="20"/>
      <c r="L65" s="20"/>
      <c r="M65" s="20"/>
      <c r="N65" s="20"/>
      <c r="O65" s="20"/>
      <c r="P65" s="20"/>
      <c r="Q65" s="20"/>
      <c r="R65" s="20"/>
      <c r="S65" s="20"/>
      <c r="T65" s="20"/>
      <c r="U65" s="20"/>
      <c r="V65" s="20"/>
      <c r="W65" s="20"/>
      <c r="X65" s="20"/>
    </row>
    <row r="66" ht="15.75" customHeight="1">
      <c r="A66" s="59" t="s">
        <v>249</v>
      </c>
      <c r="B66" s="60">
        <v>75.0</v>
      </c>
      <c r="C66" s="60">
        <v>71.0</v>
      </c>
      <c r="D66" s="60">
        <v>77.0</v>
      </c>
      <c r="E66" s="60">
        <v>78.0</v>
      </c>
      <c r="F66" s="60">
        <v>72.0</v>
      </c>
      <c r="G66" s="60">
        <v>74.0</v>
      </c>
      <c r="H66" s="60">
        <v>94.0</v>
      </c>
      <c r="I66" s="20"/>
      <c r="J66" s="20"/>
      <c r="K66" s="20"/>
      <c r="L66" s="20"/>
      <c r="M66" s="20"/>
      <c r="N66" s="20"/>
      <c r="O66" s="20"/>
      <c r="P66" s="20"/>
      <c r="Q66" s="20"/>
      <c r="R66" s="20"/>
      <c r="S66" s="20"/>
      <c r="T66" s="20"/>
      <c r="U66" s="20"/>
      <c r="V66" s="20"/>
      <c r="W66" s="20"/>
      <c r="X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row>
    <row r="69" ht="28.5" customHeight="1">
      <c r="I69" s="20"/>
      <c r="J69" s="20"/>
      <c r="K69" s="20"/>
      <c r="L69" s="20"/>
      <c r="M69" s="20"/>
      <c r="N69" s="20"/>
      <c r="O69" s="20"/>
      <c r="P69" s="20"/>
      <c r="Q69" s="20"/>
      <c r="R69" s="20"/>
      <c r="S69" s="20"/>
      <c r="T69" s="20"/>
      <c r="U69" s="20"/>
      <c r="V69" s="20"/>
      <c r="W69" s="20"/>
      <c r="X69" s="20"/>
    </row>
    <row r="70" ht="15.75" customHeight="1">
      <c r="I70" s="20"/>
      <c r="J70" s="20"/>
      <c r="K70" s="20"/>
      <c r="L70" s="20"/>
      <c r="M70" s="20"/>
      <c r="N70" s="20"/>
      <c r="O70" s="20"/>
      <c r="P70" s="20"/>
      <c r="Q70" s="20"/>
      <c r="R70" s="20"/>
      <c r="S70" s="20"/>
      <c r="T70" s="20"/>
      <c r="U70" s="20"/>
      <c r="V70" s="20"/>
      <c r="W70" s="20"/>
      <c r="X70" s="20"/>
    </row>
    <row r="71" ht="15.75" customHeight="1">
      <c r="I71" s="20"/>
      <c r="J71" s="20"/>
      <c r="K71" s="20"/>
      <c r="L71" s="20"/>
      <c r="M71" s="20"/>
      <c r="N71" s="20"/>
      <c r="O71" s="20"/>
      <c r="P71" s="20"/>
      <c r="Q71" s="20"/>
      <c r="R71" s="20"/>
      <c r="S71" s="20"/>
      <c r="T71" s="20"/>
      <c r="U71" s="20"/>
      <c r="V71" s="20"/>
      <c r="W71" s="20"/>
      <c r="X71" s="20"/>
    </row>
    <row r="72" ht="15.75" customHeight="1">
      <c r="I72" s="20"/>
      <c r="J72" s="20"/>
      <c r="K72" s="20"/>
      <c r="L72" s="20"/>
      <c r="M72" s="20"/>
      <c r="N72" s="20"/>
      <c r="O72" s="20"/>
      <c r="P72" s="20"/>
      <c r="Q72" s="20"/>
      <c r="R72" s="20"/>
      <c r="S72" s="20"/>
      <c r="T72" s="20"/>
      <c r="U72" s="20"/>
      <c r="V72" s="20"/>
      <c r="W72" s="20"/>
      <c r="X72" s="20"/>
    </row>
    <row r="73" ht="15.75" customHeight="1">
      <c r="I73" s="20"/>
      <c r="J73" s="20"/>
      <c r="K73" s="20"/>
      <c r="L73" s="20"/>
      <c r="M73" s="20"/>
      <c r="N73" s="20"/>
      <c r="O73" s="20"/>
      <c r="P73" s="20"/>
      <c r="Q73" s="20"/>
      <c r="R73" s="20"/>
      <c r="S73" s="20"/>
      <c r="T73" s="20"/>
      <c r="U73" s="20"/>
      <c r="V73" s="20"/>
      <c r="W73" s="20"/>
      <c r="X73" s="20"/>
    </row>
    <row r="74" ht="15.75" customHeight="1">
      <c r="I74" s="20"/>
      <c r="J74" s="20"/>
      <c r="K74" s="20"/>
      <c r="L74" s="20"/>
      <c r="M74" s="20"/>
      <c r="N74" s="20"/>
      <c r="O74" s="20"/>
      <c r="P74" s="20"/>
      <c r="Q74" s="20"/>
      <c r="R74" s="20"/>
      <c r="S74" s="20"/>
      <c r="T74" s="20"/>
      <c r="U74" s="20"/>
      <c r="V74" s="20"/>
      <c r="W74" s="20"/>
      <c r="X74" s="20"/>
    </row>
    <row r="75" ht="15.75" customHeight="1">
      <c r="I75" s="20"/>
      <c r="J75" s="20"/>
      <c r="K75" s="20"/>
      <c r="L75" s="20"/>
      <c r="M75" s="20"/>
      <c r="N75" s="20"/>
      <c r="O75" s="20"/>
      <c r="P75" s="20"/>
      <c r="Q75" s="20"/>
      <c r="R75" s="20"/>
      <c r="S75" s="20"/>
      <c r="T75" s="20"/>
      <c r="U75" s="20"/>
      <c r="V75" s="20"/>
      <c r="W75" s="20"/>
      <c r="X75" s="20"/>
    </row>
    <row r="76" ht="15.75" customHeight="1">
      <c r="I76" s="20"/>
      <c r="J76" s="20"/>
      <c r="K76" s="20"/>
      <c r="L76" s="20"/>
      <c r="M76" s="20"/>
      <c r="N76" s="20"/>
      <c r="O76" s="20"/>
      <c r="P76" s="20"/>
      <c r="Q76" s="20"/>
      <c r="R76" s="20"/>
      <c r="S76" s="20"/>
      <c r="T76" s="20"/>
      <c r="U76" s="20"/>
      <c r="V76" s="20"/>
      <c r="W76" s="20"/>
      <c r="X76" s="20"/>
    </row>
    <row r="77" ht="15.75" customHeight="1">
      <c r="I77" s="20"/>
      <c r="J77" s="20"/>
      <c r="K77" s="20"/>
      <c r="L77" s="20"/>
      <c r="M77" s="20"/>
      <c r="N77" s="20"/>
      <c r="O77" s="20"/>
      <c r="P77" s="20"/>
      <c r="Q77" s="20"/>
      <c r="R77" s="20"/>
      <c r="S77" s="20"/>
      <c r="T77" s="20"/>
      <c r="U77" s="20"/>
      <c r="V77" s="20"/>
      <c r="W77" s="20"/>
      <c r="X77" s="20"/>
    </row>
    <row r="78" ht="15.75" customHeight="1">
      <c r="I78" s="20"/>
      <c r="J78" s="20"/>
      <c r="K78" s="20"/>
      <c r="L78" s="20"/>
      <c r="M78" s="20"/>
      <c r="N78" s="20"/>
      <c r="O78" s="20"/>
      <c r="P78" s="20"/>
      <c r="Q78" s="20"/>
      <c r="R78" s="20"/>
      <c r="S78" s="20"/>
      <c r="T78" s="20"/>
      <c r="U78" s="20"/>
      <c r="V78" s="20"/>
      <c r="W78" s="20"/>
      <c r="X78" s="20"/>
    </row>
    <row r="79" ht="15.75" customHeight="1">
      <c r="I79" s="20"/>
      <c r="J79" s="20"/>
      <c r="K79" s="20"/>
      <c r="L79" s="20"/>
      <c r="M79" s="20"/>
      <c r="N79" s="20"/>
      <c r="O79" s="20"/>
      <c r="P79" s="20"/>
      <c r="Q79" s="20"/>
      <c r="R79" s="20"/>
      <c r="S79" s="20"/>
      <c r="T79" s="20"/>
      <c r="U79" s="20"/>
      <c r="V79" s="20"/>
      <c r="W79" s="20"/>
      <c r="X79" s="20"/>
    </row>
    <row r="80" ht="15.75" customHeight="1">
      <c r="I80" s="20"/>
      <c r="J80" s="20"/>
      <c r="K80" s="20"/>
      <c r="L80" s="20"/>
      <c r="M80" s="20"/>
      <c r="N80" s="20"/>
      <c r="O80" s="20"/>
      <c r="P80" s="20"/>
      <c r="Q80" s="20"/>
      <c r="R80" s="20"/>
      <c r="S80" s="20"/>
      <c r="T80" s="20"/>
      <c r="U80" s="20"/>
      <c r="V80" s="20"/>
      <c r="W80" s="20"/>
      <c r="X80" s="20"/>
    </row>
    <row r="81" ht="15.75" customHeight="1">
      <c r="I81" s="20"/>
      <c r="J81" s="20"/>
      <c r="K81" s="20"/>
      <c r="L81" s="20"/>
      <c r="M81" s="20"/>
      <c r="N81" s="20"/>
      <c r="O81" s="20"/>
      <c r="P81" s="20"/>
      <c r="Q81" s="20"/>
      <c r="R81" s="20"/>
      <c r="S81" s="20"/>
      <c r="T81" s="20"/>
      <c r="U81" s="20"/>
      <c r="V81" s="20"/>
      <c r="W81" s="20"/>
      <c r="X81" s="20"/>
    </row>
    <row r="82" ht="15.75" customHeight="1">
      <c r="I82" s="20"/>
      <c r="J82" s="20"/>
      <c r="K82" s="20"/>
      <c r="L82" s="20"/>
      <c r="M82" s="20"/>
      <c r="N82" s="20"/>
      <c r="O82" s="20"/>
      <c r="P82" s="20"/>
      <c r="Q82" s="20"/>
      <c r="R82" s="20"/>
      <c r="S82" s="20"/>
      <c r="T82" s="20"/>
      <c r="U82" s="20"/>
      <c r="V82" s="20"/>
      <c r="W82" s="20"/>
      <c r="X82" s="20"/>
    </row>
    <row r="83" ht="15.75" customHeight="1">
      <c r="I83" s="20"/>
      <c r="J83" s="20"/>
      <c r="K83" s="20"/>
      <c r="L83" s="20"/>
      <c r="M83" s="20"/>
      <c r="N83" s="20"/>
      <c r="O83" s="20"/>
      <c r="P83" s="20"/>
      <c r="Q83" s="20"/>
      <c r="R83" s="20"/>
      <c r="S83" s="20"/>
      <c r="T83" s="20"/>
      <c r="U83" s="20"/>
      <c r="V83" s="20"/>
      <c r="W83" s="20"/>
      <c r="X83" s="20"/>
    </row>
    <row r="84" ht="15.75" customHeight="1">
      <c r="I84" s="20"/>
      <c r="J84" s="20"/>
      <c r="K84" s="20"/>
      <c r="L84" s="20"/>
      <c r="M84" s="20"/>
      <c r="N84" s="20"/>
      <c r="O84" s="20"/>
      <c r="P84" s="20"/>
      <c r="Q84" s="20"/>
      <c r="R84" s="20"/>
      <c r="S84" s="20"/>
      <c r="T84" s="20"/>
      <c r="U84" s="20"/>
      <c r="V84" s="20"/>
      <c r="W84" s="20"/>
      <c r="X84" s="20"/>
    </row>
    <row r="85" ht="15.75" customHeight="1">
      <c r="I85" s="20"/>
      <c r="J85" s="20"/>
      <c r="K85" s="20"/>
      <c r="L85" s="20"/>
      <c r="M85" s="20"/>
      <c r="N85" s="20"/>
      <c r="O85" s="20"/>
      <c r="P85" s="20"/>
      <c r="Q85" s="20"/>
      <c r="R85" s="20"/>
      <c r="S85" s="20"/>
      <c r="T85" s="20"/>
      <c r="U85" s="20"/>
      <c r="V85" s="20"/>
      <c r="W85" s="20"/>
      <c r="X85" s="20"/>
    </row>
    <row r="86" ht="15.75" customHeight="1">
      <c r="I86" s="20"/>
      <c r="J86" s="20"/>
      <c r="K86" s="20"/>
      <c r="L86" s="20"/>
      <c r="M86" s="20"/>
      <c r="N86" s="20"/>
      <c r="O86" s="20"/>
      <c r="P86" s="20"/>
      <c r="Q86" s="20"/>
      <c r="R86" s="20"/>
      <c r="S86" s="20"/>
      <c r="T86" s="20"/>
      <c r="U86" s="20"/>
      <c r="V86" s="20"/>
      <c r="W86" s="20"/>
      <c r="X86" s="20"/>
    </row>
    <row r="87" ht="15.75" customHeight="1">
      <c r="I87" s="20"/>
      <c r="J87" s="20"/>
      <c r="K87" s="20"/>
      <c r="L87" s="20"/>
      <c r="M87" s="20"/>
      <c r="N87" s="20"/>
      <c r="O87" s="20"/>
      <c r="P87" s="20"/>
      <c r="Q87" s="20"/>
      <c r="R87" s="20"/>
      <c r="S87" s="20"/>
      <c r="T87" s="20"/>
      <c r="U87" s="20"/>
      <c r="V87" s="20"/>
      <c r="W87" s="20"/>
      <c r="X87" s="20"/>
    </row>
    <row r="88" ht="15.75" customHeight="1">
      <c r="I88" s="20"/>
      <c r="J88" s="20"/>
      <c r="K88" s="20"/>
      <c r="L88" s="20"/>
      <c r="M88" s="20"/>
      <c r="N88" s="20"/>
      <c r="O88" s="20"/>
      <c r="P88" s="20"/>
      <c r="Q88" s="20"/>
      <c r="R88" s="20"/>
      <c r="S88" s="20"/>
      <c r="T88" s="20"/>
      <c r="U88" s="20"/>
      <c r="V88" s="20"/>
      <c r="W88" s="20"/>
      <c r="X88" s="20"/>
    </row>
    <row r="89" ht="15.75" customHeight="1">
      <c r="I89" s="20"/>
      <c r="J89" s="20"/>
      <c r="K89" s="20"/>
      <c r="L89" s="20"/>
      <c r="M89" s="20"/>
      <c r="N89" s="20"/>
      <c r="O89" s="20"/>
      <c r="P89" s="20"/>
      <c r="Q89" s="20"/>
      <c r="R89" s="20"/>
      <c r="S89" s="20"/>
      <c r="T89" s="20"/>
      <c r="U89" s="20"/>
      <c r="V89" s="20"/>
      <c r="W89" s="20"/>
      <c r="X89" s="20"/>
    </row>
    <row r="90" ht="15.75" customHeight="1">
      <c r="I90" s="20"/>
      <c r="J90" s="20"/>
      <c r="K90" s="20"/>
      <c r="L90" s="20"/>
      <c r="M90" s="20"/>
      <c r="N90" s="20"/>
      <c r="O90" s="20"/>
      <c r="P90" s="20"/>
      <c r="Q90" s="20"/>
      <c r="R90" s="20"/>
      <c r="S90" s="20"/>
      <c r="T90" s="20"/>
      <c r="U90" s="20"/>
      <c r="V90" s="20"/>
      <c r="W90" s="20"/>
      <c r="X90" s="20"/>
    </row>
    <row r="91" ht="15.75" customHeight="1">
      <c r="I91" s="20"/>
      <c r="J91" s="20"/>
      <c r="K91" s="20"/>
      <c r="L91" s="20"/>
      <c r="M91" s="20"/>
      <c r="N91" s="20"/>
      <c r="O91" s="20"/>
      <c r="P91" s="20"/>
      <c r="Q91" s="20"/>
      <c r="R91" s="20"/>
      <c r="S91" s="20"/>
      <c r="T91" s="20"/>
      <c r="U91" s="20"/>
      <c r="V91" s="20"/>
      <c r="W91" s="20"/>
      <c r="X91" s="20"/>
    </row>
    <row r="92" ht="15.75" customHeight="1">
      <c r="I92" s="20"/>
      <c r="J92" s="20"/>
      <c r="K92" s="20"/>
      <c r="L92" s="20"/>
      <c r="M92" s="20"/>
      <c r="N92" s="20"/>
      <c r="O92" s="20"/>
      <c r="P92" s="20"/>
      <c r="Q92" s="20"/>
      <c r="R92" s="20"/>
      <c r="S92" s="20"/>
      <c r="T92" s="20"/>
      <c r="U92" s="20"/>
      <c r="V92" s="20"/>
      <c r="W92" s="20"/>
      <c r="X92" s="20"/>
    </row>
    <row r="93" ht="15.75" customHeight="1">
      <c r="I93" s="20"/>
      <c r="J93" s="20"/>
      <c r="K93" s="20"/>
      <c r="L93" s="20"/>
      <c r="M93" s="20"/>
      <c r="N93" s="20"/>
      <c r="O93" s="20"/>
      <c r="P93" s="20"/>
      <c r="Q93" s="20"/>
      <c r="R93" s="20"/>
      <c r="S93" s="20"/>
      <c r="T93" s="20"/>
      <c r="U93" s="20"/>
      <c r="V93" s="20"/>
      <c r="W93" s="20"/>
      <c r="X93" s="20"/>
    </row>
    <row r="94" ht="15.75" customHeight="1">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
    <mergeCell ref="B2:P2"/>
  </mergeCells>
  <conditionalFormatting sqref="B5:C5 D5:D15 E5:H5 B8:C15 E8:H15">
    <cfRule type="colorScale" priority="1">
      <colorScale>
        <cfvo type="formula" val="25"/>
        <cfvo type="formula" val="50"/>
        <cfvo type="formula" val="75"/>
        <color rgb="FFFF0000"/>
        <color rgb="FFFF9900"/>
        <color rgb="FF00FF00"/>
      </colorScale>
    </cfRule>
  </conditionalFormatting>
  <conditionalFormatting sqref="B5:C5 D5:D7 E5:H5 B10:B11 C10 E10:E12">
    <cfRule type="cellIs" dxfId="5" priority="2" operator="greaterThan">
      <formula>50</formula>
    </cfRule>
  </conditionalFormatting>
  <conditionalFormatting sqref="B42:H66 A43:A66">
    <cfRule type="colorScale" priority="3">
      <colorScale>
        <cfvo type="formula" val="25"/>
        <cfvo type="formula" val="50"/>
        <cfvo type="formula" val="75"/>
        <color rgb="FFFF0000"/>
        <color rgb="FFFFFF00"/>
        <color rgb="FF00FFFF"/>
      </colorScale>
    </cfRule>
  </conditionalFormatting>
  <conditionalFormatting sqref="B16:H39">
    <cfRule type="colorScale" priority="4">
      <colorScale>
        <cfvo type="formula" val="1"/>
        <cfvo type="formula" val="1.3"/>
        <cfvo type="formula" val="2"/>
        <color rgb="FF00FF00"/>
        <color rgb="FFFFFF00"/>
        <color rgb="FFFF0000"/>
      </colorScale>
    </cfRule>
  </conditionalFormatting>
  <conditionalFormatting sqref="B71:H94">
    <cfRule type="colorScale" priority="5">
      <colorScale>
        <cfvo type="min"/>
        <cfvo type="formula" val="7"/>
        <cfvo type="max"/>
        <color rgb="FF00FFFF"/>
        <color rgb="FFFFFF00"/>
        <color rgb="FFFF0000"/>
      </colorScale>
    </cfRule>
  </conditionalFormatting>
  <dataValidations>
    <dataValidation type="custom" allowBlank="1" showDropDown="1" sqref="B16:H39">
      <formula1>AND(ISNUMBER(B16),(NOT(OR(NOT(ISERROR(DATEVALUE(B16))), AND(ISNUMBER(B16), LEFT(CELL("format", B16))="D")))))</formula1>
    </dataValidation>
  </dataValidations>
  <printOptions/>
  <pageMargins bottom="0.75" footer="0.0" header="0.0" left="0.7" right="0.7" top="0.75"/>
  <pageSetup paperSize="9" orientation="portrait"/>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10" width="11.57"/>
    <col customWidth="1" min="11" max="16" width="9.14"/>
    <col customWidth="1" hidden="1" min="17" max="19" width="8.86"/>
    <col customWidth="1" hidden="1" min="20" max="23" width="10.71"/>
    <col customWidth="1" hidden="1" min="24" max="24" width="27.0"/>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ht="30.0" customHeight="1">
      <c r="A2" s="20"/>
      <c r="B2" s="62" t="s">
        <v>9</v>
      </c>
      <c r="Q2" s="48"/>
      <c r="R2" s="48"/>
      <c r="S2" s="48"/>
      <c r="T2" s="20"/>
      <c r="U2" s="20"/>
      <c r="V2" s="20"/>
      <c r="W2" s="20"/>
      <c r="X2" s="20"/>
    </row>
    <row r="3">
      <c r="A3" s="20"/>
      <c r="B3" s="47"/>
      <c r="C3" s="20"/>
      <c r="D3" s="20"/>
      <c r="E3" s="20"/>
      <c r="F3" s="20"/>
      <c r="G3" s="20"/>
      <c r="H3" s="20"/>
      <c r="I3" s="20"/>
      <c r="J3" s="20"/>
      <c r="K3" s="20"/>
      <c r="L3" s="20"/>
      <c r="M3" s="20"/>
      <c r="N3" s="20"/>
      <c r="O3" s="20"/>
      <c r="P3" s="20"/>
      <c r="Q3" s="20"/>
      <c r="R3" s="20"/>
      <c r="S3" s="20"/>
      <c r="T3" s="20"/>
      <c r="U3" s="20"/>
      <c r="V3" s="20"/>
      <c r="W3" s="20"/>
      <c r="X3" s="20"/>
    </row>
    <row r="4">
      <c r="A4" s="20"/>
      <c r="B4" s="52" t="s">
        <v>266</v>
      </c>
      <c r="C4" s="20"/>
      <c r="D4" s="20"/>
      <c r="E4" s="20"/>
      <c r="F4" s="20"/>
      <c r="G4" s="20"/>
      <c r="H4" s="20"/>
      <c r="I4" s="20"/>
      <c r="J4" s="20"/>
      <c r="K4" s="20"/>
      <c r="L4" s="20"/>
      <c r="M4" s="20"/>
      <c r="N4" s="20"/>
      <c r="O4" s="20"/>
      <c r="P4" s="20"/>
      <c r="Q4" s="20"/>
      <c r="R4" s="20"/>
      <c r="S4" s="20"/>
      <c r="T4" s="20"/>
      <c r="U4" s="20"/>
      <c r="V4" s="20"/>
      <c r="W4" s="20"/>
      <c r="X4" s="20"/>
    </row>
    <row r="5">
      <c r="A5" s="20"/>
      <c r="B5" s="52"/>
      <c r="C5" s="20"/>
      <c r="D5" s="20"/>
      <c r="E5" s="52"/>
      <c r="F5" s="20"/>
      <c r="G5" s="20"/>
      <c r="H5" s="20"/>
      <c r="I5" s="52"/>
      <c r="J5" s="20"/>
      <c r="K5" s="20"/>
      <c r="L5" s="20"/>
      <c r="M5" s="20"/>
      <c r="N5" s="20"/>
      <c r="O5" s="20"/>
      <c r="P5" s="20"/>
      <c r="Q5" s="20"/>
      <c r="R5" s="20"/>
      <c r="S5" s="20"/>
      <c r="T5" s="20"/>
      <c r="U5" s="20"/>
      <c r="V5" s="20"/>
      <c r="W5" s="20"/>
      <c r="X5" s="20"/>
    </row>
    <row r="6">
      <c r="A6" s="20"/>
      <c r="B6" s="52" t="s">
        <v>267</v>
      </c>
      <c r="C6" s="20"/>
      <c r="D6" s="20"/>
      <c r="E6" s="52" t="s">
        <v>268</v>
      </c>
      <c r="F6" s="20"/>
      <c r="G6" s="20"/>
      <c r="H6" s="20"/>
      <c r="I6" s="52" t="s">
        <v>269</v>
      </c>
      <c r="J6" s="20"/>
      <c r="K6" s="20"/>
      <c r="L6" s="20"/>
      <c r="M6" s="20"/>
      <c r="N6" s="20"/>
      <c r="O6" s="20"/>
      <c r="P6" s="20"/>
      <c r="Q6" s="20"/>
      <c r="R6" s="20"/>
      <c r="S6" s="20"/>
      <c r="T6" s="20"/>
      <c r="U6" s="20"/>
      <c r="V6" s="20"/>
      <c r="W6" s="20"/>
      <c r="X6" s="20"/>
    </row>
    <row r="7">
      <c r="A7" s="20"/>
      <c r="B7" s="63"/>
      <c r="C7" s="63"/>
      <c r="D7" s="63"/>
      <c r="E7" s="63"/>
      <c r="F7" s="63"/>
      <c r="G7" s="63"/>
      <c r="H7" s="63"/>
      <c r="I7" s="63"/>
      <c r="J7" s="63"/>
      <c r="K7" s="63"/>
      <c r="L7" s="63"/>
      <c r="M7" s="63"/>
      <c r="N7" s="63"/>
      <c r="O7" s="63"/>
      <c r="P7" s="63"/>
      <c r="Q7" s="63"/>
      <c r="R7" s="63"/>
      <c r="S7" s="63"/>
      <c r="T7" s="63"/>
      <c r="U7" s="63"/>
      <c r="V7" s="63"/>
      <c r="W7" s="63"/>
      <c r="X7" s="63"/>
      <c r="Y7" s="63"/>
      <c r="Z7" s="63"/>
    </row>
    <row r="8">
      <c r="A8" s="20"/>
      <c r="B8" s="63" t="s">
        <v>270</v>
      </c>
    </row>
    <row r="9">
      <c r="A9" s="20"/>
    </row>
    <row r="10">
      <c r="A10" s="20"/>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c r="A11" s="20"/>
      <c r="B11" s="63" t="s">
        <v>271</v>
      </c>
    </row>
    <row r="12">
      <c r="A12" s="20"/>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20"/>
      <c r="B13" s="64" t="s">
        <v>272</v>
      </c>
    </row>
    <row r="14">
      <c r="A14" s="20"/>
    </row>
    <row r="15" ht="15.75" customHeight="1">
      <c r="A15" s="20"/>
      <c r="B15" s="63"/>
      <c r="C15" s="63"/>
      <c r="D15" s="63"/>
      <c r="E15" s="63"/>
      <c r="F15" s="63"/>
      <c r="G15" s="63"/>
      <c r="H15" s="63"/>
      <c r="I15" s="63"/>
      <c r="J15" s="63"/>
      <c r="K15" s="63"/>
      <c r="L15" s="63"/>
      <c r="M15" s="63"/>
      <c r="N15" s="63"/>
      <c r="O15" s="63"/>
      <c r="P15" s="63"/>
      <c r="Q15" s="63"/>
      <c r="R15" s="63"/>
      <c r="S15" s="63"/>
      <c r="T15" s="63"/>
      <c r="U15" s="63"/>
      <c r="V15" s="63"/>
      <c r="W15" s="63"/>
      <c r="X15" s="63"/>
      <c r="Y15" s="63"/>
    </row>
    <row r="16" ht="15.75" customHeight="1">
      <c r="A16" s="20"/>
      <c r="B16" s="63" t="s">
        <v>273</v>
      </c>
    </row>
    <row r="17">
      <c r="A17" s="20"/>
      <c r="B17" s="37"/>
      <c r="K17" s="20"/>
      <c r="L17" s="20"/>
      <c r="M17" s="20"/>
      <c r="N17" s="20"/>
      <c r="O17" s="20"/>
      <c r="P17" s="20"/>
      <c r="Q17" s="20"/>
      <c r="R17" s="20"/>
      <c r="S17" s="20"/>
      <c r="T17" s="20"/>
      <c r="U17" s="20"/>
      <c r="V17" s="20"/>
      <c r="W17" s="44"/>
      <c r="X17" s="23"/>
    </row>
    <row r="18">
      <c r="A18" s="20"/>
      <c r="B18" s="37"/>
      <c r="K18" s="20"/>
      <c r="L18" s="20"/>
      <c r="M18" s="20"/>
      <c r="N18" s="20"/>
      <c r="O18" s="20"/>
      <c r="P18" s="20"/>
      <c r="Q18" s="20"/>
      <c r="R18" s="20"/>
      <c r="S18" s="20"/>
      <c r="T18" s="20"/>
      <c r="U18" s="20"/>
      <c r="V18" s="20"/>
      <c r="W18" s="44"/>
      <c r="X18" s="23"/>
    </row>
    <row r="19">
      <c r="A19" s="20"/>
      <c r="J19" s="37"/>
      <c r="K19" s="20"/>
      <c r="L19" s="20"/>
      <c r="M19" s="20"/>
      <c r="N19" s="20"/>
      <c r="O19" s="20"/>
      <c r="P19" s="20"/>
      <c r="Q19" s="20"/>
      <c r="R19" s="20"/>
      <c r="S19" s="20"/>
      <c r="T19" s="20"/>
      <c r="U19" s="20"/>
      <c r="V19" s="20"/>
      <c r="W19" s="44"/>
      <c r="X19" s="23"/>
    </row>
    <row r="20">
      <c r="A20" s="20"/>
      <c r="J20" s="37"/>
      <c r="K20" s="20"/>
      <c r="L20" s="20"/>
      <c r="M20" s="20"/>
      <c r="N20" s="20"/>
      <c r="O20" s="20"/>
      <c r="P20" s="20"/>
      <c r="Q20" s="20"/>
      <c r="R20" s="20"/>
      <c r="S20" s="20"/>
      <c r="T20" s="20"/>
      <c r="U20" s="20"/>
      <c r="V20" s="20"/>
      <c r="W20" s="44"/>
      <c r="X20" s="23"/>
    </row>
    <row r="21">
      <c r="A21" s="20"/>
      <c r="J21" s="37"/>
      <c r="K21" s="20"/>
      <c r="L21" s="20"/>
      <c r="M21" s="20"/>
      <c r="N21" s="20"/>
      <c r="O21" s="20"/>
      <c r="P21" s="20"/>
      <c r="Q21" s="20"/>
      <c r="R21" s="20"/>
      <c r="S21" s="20"/>
      <c r="T21" s="20"/>
      <c r="U21" s="20"/>
      <c r="V21" s="20"/>
      <c r="W21" s="44"/>
      <c r="X21" s="23"/>
    </row>
    <row r="22">
      <c r="A22" s="20"/>
      <c r="J22" s="37"/>
      <c r="K22" s="20"/>
      <c r="L22" s="20"/>
      <c r="M22" s="20"/>
      <c r="N22" s="20"/>
      <c r="O22" s="20"/>
      <c r="P22" s="20"/>
      <c r="Q22" s="20"/>
      <c r="R22" s="20"/>
      <c r="S22" s="20"/>
      <c r="T22" s="20"/>
      <c r="U22" s="20"/>
      <c r="V22" s="20"/>
      <c r="W22" s="44"/>
      <c r="X22" s="23"/>
    </row>
    <row r="23">
      <c r="A23" s="20"/>
      <c r="J23" s="37"/>
      <c r="K23" s="20"/>
      <c r="L23" s="20"/>
      <c r="M23" s="20"/>
      <c r="N23" s="20"/>
      <c r="O23" s="20"/>
      <c r="P23" s="20"/>
      <c r="Q23" s="20"/>
      <c r="R23" s="20"/>
      <c r="S23" s="20"/>
      <c r="T23" s="20"/>
      <c r="U23" s="20"/>
      <c r="V23" s="20"/>
      <c r="W23" s="44"/>
      <c r="X23" s="23"/>
    </row>
    <row r="24">
      <c r="A24" s="20"/>
      <c r="J24" s="37"/>
      <c r="K24" s="20"/>
      <c r="L24" s="20"/>
      <c r="M24" s="20"/>
      <c r="N24" s="20"/>
      <c r="O24" s="20"/>
      <c r="P24" s="20"/>
      <c r="Q24" s="20"/>
      <c r="R24" s="20"/>
      <c r="S24" s="20"/>
      <c r="T24" s="20"/>
      <c r="U24" s="20"/>
      <c r="V24" s="20"/>
      <c r="W24" s="20"/>
      <c r="X24" s="20"/>
    </row>
    <row r="25">
      <c r="A25" s="20"/>
      <c r="J25" s="37"/>
      <c r="K25" s="20"/>
      <c r="L25" s="20"/>
      <c r="M25" s="20"/>
      <c r="N25" s="20"/>
      <c r="O25" s="20"/>
      <c r="P25" s="20"/>
      <c r="Q25" s="20"/>
      <c r="R25" s="20"/>
      <c r="S25" s="20"/>
      <c r="T25" s="20"/>
      <c r="U25" s="20"/>
      <c r="V25" s="20"/>
      <c r="W25" s="20"/>
      <c r="X25" s="20"/>
    </row>
    <row r="26">
      <c r="A26" s="20"/>
      <c r="J26" s="37"/>
      <c r="K26" s="20"/>
      <c r="L26" s="20"/>
      <c r="M26" s="20"/>
      <c r="N26" s="20"/>
      <c r="O26" s="20"/>
      <c r="P26" s="20"/>
      <c r="Q26" s="20"/>
      <c r="R26" s="20"/>
      <c r="S26" s="20"/>
      <c r="T26" s="20"/>
      <c r="U26" s="20"/>
      <c r="V26" s="20"/>
      <c r="W26" s="20"/>
      <c r="X26" s="20"/>
    </row>
    <row r="27">
      <c r="A27" s="20"/>
      <c r="J27" s="37"/>
      <c r="K27" s="20"/>
      <c r="L27" s="20"/>
      <c r="M27" s="20"/>
      <c r="N27" s="20"/>
      <c r="O27" s="20"/>
      <c r="P27" s="20"/>
      <c r="Q27" s="20"/>
      <c r="R27" s="20"/>
      <c r="S27" s="20"/>
      <c r="T27" s="20"/>
      <c r="U27" s="20"/>
      <c r="V27" s="20"/>
      <c r="W27" s="20"/>
      <c r="X27" s="20"/>
    </row>
    <row r="28">
      <c r="A28" s="20"/>
      <c r="J28" s="37"/>
      <c r="K28" s="20"/>
      <c r="L28" s="20"/>
      <c r="M28" s="20"/>
      <c r="N28" s="20"/>
      <c r="O28" s="20"/>
      <c r="P28" s="20"/>
      <c r="Q28" s="20"/>
      <c r="R28" s="20"/>
      <c r="S28" s="20"/>
      <c r="T28" s="20"/>
      <c r="U28" s="20"/>
      <c r="V28" s="20"/>
      <c r="W28" s="20"/>
      <c r="X28" s="20"/>
    </row>
    <row r="29">
      <c r="A29" s="20"/>
      <c r="J29" s="37"/>
      <c r="K29" s="20"/>
      <c r="L29" s="20"/>
      <c r="M29" s="20"/>
      <c r="N29" s="20"/>
      <c r="O29" s="20"/>
      <c r="P29" s="20"/>
      <c r="Q29" s="20"/>
      <c r="R29" s="20"/>
      <c r="S29" s="20"/>
      <c r="T29" s="20"/>
      <c r="U29" s="20"/>
      <c r="V29" s="20"/>
      <c r="W29" s="20"/>
      <c r="X29" s="20"/>
    </row>
    <row r="30">
      <c r="A30" s="20"/>
      <c r="J30" s="37"/>
      <c r="K30" s="20"/>
      <c r="L30" s="20"/>
      <c r="M30" s="20"/>
      <c r="N30" s="20"/>
      <c r="O30" s="20"/>
      <c r="P30" s="20"/>
      <c r="Q30" s="20"/>
      <c r="R30" s="20"/>
      <c r="S30" s="20"/>
      <c r="T30" s="20"/>
      <c r="U30" s="20"/>
      <c r="V30" s="20"/>
      <c r="W30" s="20"/>
      <c r="X30" s="20"/>
    </row>
    <row r="31" ht="15.75" customHeight="1">
      <c r="A31" s="20"/>
      <c r="J31" s="37"/>
      <c r="K31" s="20"/>
      <c r="L31" s="20"/>
      <c r="M31" s="20"/>
      <c r="N31" s="20"/>
      <c r="O31" s="20"/>
      <c r="P31" s="20"/>
      <c r="Q31" s="20"/>
      <c r="R31" s="20"/>
      <c r="S31" s="20"/>
      <c r="T31" s="20"/>
      <c r="U31" s="20"/>
      <c r="V31" s="20"/>
      <c r="W31" s="20"/>
      <c r="X31" s="20"/>
    </row>
    <row r="32" ht="15.75" customHeight="1">
      <c r="A32" s="20"/>
      <c r="J32" s="37"/>
      <c r="K32" s="20"/>
      <c r="L32" s="20"/>
      <c r="M32" s="20"/>
      <c r="N32" s="20"/>
      <c r="O32" s="20"/>
      <c r="P32" s="20"/>
      <c r="Q32" s="20"/>
      <c r="R32" s="20"/>
      <c r="S32" s="20"/>
      <c r="T32" s="20"/>
      <c r="U32" s="20"/>
      <c r="V32" s="20"/>
      <c r="W32" s="20"/>
      <c r="X32" s="20"/>
    </row>
    <row r="33" ht="15.75" customHeight="1">
      <c r="A33" s="20"/>
      <c r="J33" s="37"/>
      <c r="K33" s="20"/>
      <c r="L33" s="20"/>
      <c r="M33" s="20"/>
      <c r="N33" s="20"/>
      <c r="O33" s="20"/>
      <c r="P33" s="20"/>
      <c r="Q33" s="20"/>
      <c r="R33" s="20"/>
      <c r="S33" s="20"/>
      <c r="T33" s="20"/>
      <c r="U33" s="20"/>
      <c r="V33" s="20"/>
      <c r="W33" s="20"/>
      <c r="X33" s="20"/>
    </row>
    <row r="34" ht="15.75" customHeight="1">
      <c r="A34" s="20"/>
      <c r="J34" s="37"/>
      <c r="K34" s="20"/>
      <c r="L34" s="20"/>
      <c r="M34" s="20"/>
      <c r="N34" s="20"/>
      <c r="O34" s="20"/>
      <c r="P34" s="20"/>
      <c r="Q34" s="20"/>
      <c r="R34" s="20"/>
      <c r="S34" s="20"/>
      <c r="T34" s="20"/>
      <c r="U34" s="20"/>
      <c r="V34" s="20"/>
      <c r="W34" s="20"/>
      <c r="X34" s="20"/>
    </row>
    <row r="35" ht="15.75" customHeight="1">
      <c r="A35" s="20"/>
      <c r="J35" s="37"/>
      <c r="K35" s="20"/>
      <c r="L35" s="20"/>
      <c r="M35" s="20"/>
      <c r="N35" s="20"/>
      <c r="O35" s="20"/>
      <c r="P35" s="20"/>
      <c r="Q35" s="20"/>
      <c r="R35" s="20"/>
      <c r="S35" s="20"/>
      <c r="T35" s="20"/>
      <c r="U35" s="20"/>
      <c r="V35" s="20"/>
      <c r="W35" s="20"/>
      <c r="X35" s="20"/>
    </row>
    <row r="36" ht="15.75" customHeight="1">
      <c r="A36" s="20"/>
      <c r="J36" s="37"/>
      <c r="K36" s="20"/>
      <c r="L36" s="20"/>
      <c r="M36" s="20"/>
      <c r="N36" s="20"/>
      <c r="O36" s="20"/>
      <c r="P36" s="20"/>
      <c r="Q36" s="20"/>
      <c r="R36" s="20"/>
      <c r="S36" s="20"/>
      <c r="T36" s="20"/>
      <c r="U36" s="20"/>
      <c r="V36" s="20"/>
      <c r="W36" s="20"/>
      <c r="X36" s="20"/>
    </row>
    <row r="37" ht="15.75" customHeight="1">
      <c r="A37" s="20"/>
      <c r="J37" s="37"/>
      <c r="K37" s="20"/>
      <c r="L37" s="20"/>
      <c r="M37" s="20"/>
      <c r="N37" s="20"/>
      <c r="O37" s="20"/>
      <c r="P37" s="20"/>
      <c r="Q37" s="20"/>
      <c r="R37" s="20"/>
      <c r="S37" s="20"/>
      <c r="T37" s="20"/>
      <c r="U37" s="20"/>
      <c r="V37" s="20"/>
      <c r="W37" s="20"/>
      <c r="X37" s="20"/>
    </row>
    <row r="38" ht="15.75" customHeight="1">
      <c r="A38" s="20"/>
      <c r="J38" s="37"/>
      <c r="K38" s="20"/>
      <c r="L38" s="20"/>
      <c r="M38" s="20"/>
      <c r="N38" s="20"/>
      <c r="O38" s="20"/>
      <c r="P38" s="20"/>
      <c r="Q38" s="20"/>
      <c r="R38" s="20"/>
      <c r="S38" s="20"/>
      <c r="T38" s="20"/>
      <c r="U38" s="20"/>
      <c r="V38" s="20"/>
      <c r="W38" s="20"/>
      <c r="X38" s="20"/>
    </row>
    <row r="39" ht="15.75" customHeight="1">
      <c r="A39" s="20"/>
      <c r="J39" s="37"/>
      <c r="K39" s="20"/>
      <c r="L39" s="20"/>
      <c r="M39" s="20"/>
      <c r="N39" s="20"/>
      <c r="O39" s="20"/>
      <c r="P39" s="20"/>
      <c r="Q39" s="20"/>
      <c r="R39" s="20"/>
      <c r="S39" s="20"/>
      <c r="T39" s="20"/>
      <c r="U39" s="20"/>
      <c r="V39" s="20"/>
      <c r="W39" s="20"/>
      <c r="X39" s="20"/>
    </row>
    <row r="40" ht="15.75" customHeight="1">
      <c r="A40" s="20"/>
      <c r="J40" s="37"/>
      <c r="K40" s="20"/>
      <c r="L40" s="20"/>
      <c r="M40" s="20"/>
      <c r="N40" s="20"/>
      <c r="O40" s="20"/>
      <c r="P40" s="20"/>
      <c r="Q40" s="20"/>
      <c r="R40" s="20"/>
      <c r="S40" s="20"/>
      <c r="T40" s="20"/>
      <c r="U40" s="20"/>
      <c r="V40" s="20"/>
      <c r="W40" s="20"/>
      <c r="X40" s="20"/>
    </row>
    <row r="41" ht="15.75" customHeight="1">
      <c r="A41" s="20"/>
      <c r="J41" s="37"/>
      <c r="K41" s="20"/>
      <c r="L41" s="20"/>
      <c r="M41" s="20"/>
      <c r="N41" s="20"/>
      <c r="O41" s="20"/>
      <c r="P41" s="20"/>
      <c r="Q41" s="20"/>
      <c r="R41" s="20"/>
      <c r="S41" s="20"/>
      <c r="T41" s="20"/>
      <c r="U41" s="20"/>
      <c r="V41" s="20"/>
      <c r="W41" s="20"/>
      <c r="X41" s="20"/>
    </row>
    <row r="42" ht="15.75" customHeight="1">
      <c r="A42" s="20"/>
      <c r="J42" s="37"/>
      <c r="K42" s="20"/>
      <c r="L42" s="20"/>
      <c r="M42" s="20"/>
      <c r="N42" s="20"/>
      <c r="O42" s="20"/>
      <c r="P42" s="20"/>
      <c r="Q42" s="20"/>
      <c r="R42" s="20"/>
      <c r="S42" s="20"/>
      <c r="T42" s="20"/>
      <c r="U42" s="20"/>
      <c r="V42" s="20"/>
      <c r="W42" s="20"/>
      <c r="X42" s="20"/>
    </row>
    <row r="43" ht="15.75" customHeight="1">
      <c r="A43" s="20"/>
      <c r="J43" s="37"/>
      <c r="K43" s="20"/>
      <c r="L43" s="20"/>
      <c r="M43" s="20"/>
      <c r="N43" s="20"/>
      <c r="O43" s="20"/>
      <c r="P43" s="20"/>
      <c r="Q43" s="20"/>
      <c r="R43" s="20"/>
      <c r="S43" s="20"/>
      <c r="T43" s="20"/>
      <c r="U43" s="20"/>
      <c r="V43" s="20"/>
      <c r="W43" s="20"/>
      <c r="X43" s="20"/>
    </row>
    <row r="44" ht="15.75" customHeight="1">
      <c r="A44" s="20"/>
      <c r="J44" s="37"/>
      <c r="K44" s="20"/>
      <c r="L44" s="20"/>
      <c r="M44" s="20"/>
      <c r="N44" s="20"/>
      <c r="O44" s="20"/>
      <c r="P44" s="20"/>
      <c r="Q44" s="20"/>
      <c r="R44" s="20"/>
      <c r="S44" s="20"/>
      <c r="T44" s="20"/>
      <c r="U44" s="20"/>
      <c r="V44" s="20"/>
      <c r="W44" s="20"/>
      <c r="X44" s="20"/>
    </row>
    <row r="45" ht="15.75" customHeight="1">
      <c r="A45" s="20"/>
      <c r="B45" s="37"/>
      <c r="C45" s="37"/>
      <c r="D45" s="37"/>
      <c r="E45" s="37"/>
      <c r="F45" s="37"/>
      <c r="G45" s="37"/>
      <c r="H45" s="37"/>
      <c r="I45" s="37"/>
      <c r="J45" s="37"/>
      <c r="K45" s="20"/>
      <c r="L45" s="20"/>
      <c r="M45" s="20"/>
      <c r="N45" s="20"/>
      <c r="O45" s="20"/>
      <c r="P45" s="20"/>
      <c r="Q45" s="20"/>
      <c r="R45" s="20"/>
      <c r="S45" s="20"/>
      <c r="T45" s="20"/>
      <c r="U45" s="20"/>
      <c r="V45" s="20"/>
      <c r="W45" s="20"/>
      <c r="X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row>
    <row r="48" ht="42.0" customHeight="1">
      <c r="A48" s="20"/>
      <c r="J48" s="20"/>
      <c r="K48" s="20"/>
      <c r="L48" s="20"/>
      <c r="M48" s="20"/>
      <c r="N48" s="20"/>
      <c r="O48" s="20"/>
      <c r="P48" s="20"/>
      <c r="Q48" s="20"/>
      <c r="R48" s="20"/>
      <c r="S48" s="20"/>
      <c r="T48" s="20"/>
      <c r="U48" s="20"/>
      <c r="V48" s="20"/>
      <c r="W48" s="20"/>
      <c r="X48" s="20"/>
    </row>
    <row r="49" ht="15.75" customHeight="1">
      <c r="A49" s="20"/>
      <c r="J49" s="20"/>
      <c r="K49" s="20"/>
      <c r="L49" s="20"/>
      <c r="M49" s="20"/>
      <c r="N49" s="20"/>
      <c r="O49" s="20"/>
      <c r="P49" s="20"/>
      <c r="Q49" s="20"/>
      <c r="R49" s="20"/>
      <c r="S49" s="20"/>
      <c r="T49" s="20"/>
      <c r="U49" s="20"/>
      <c r="V49" s="20"/>
      <c r="W49" s="20"/>
      <c r="X49" s="20"/>
    </row>
    <row r="50" ht="15.75" customHeight="1">
      <c r="A50" s="20"/>
      <c r="J50" s="20"/>
      <c r="K50" s="20"/>
      <c r="L50" s="20"/>
      <c r="M50" s="20"/>
      <c r="N50" s="20"/>
      <c r="O50" s="20"/>
      <c r="P50" s="20"/>
      <c r="Q50" s="20"/>
      <c r="R50" s="20"/>
      <c r="S50" s="20"/>
      <c r="T50" s="20"/>
      <c r="U50" s="20"/>
      <c r="V50" s="20"/>
      <c r="W50" s="20"/>
      <c r="X50" s="20"/>
    </row>
    <row r="51" ht="15.75" customHeight="1">
      <c r="A51" s="20"/>
      <c r="J51" s="20"/>
      <c r="K51" s="20"/>
      <c r="L51" s="20"/>
      <c r="M51" s="20"/>
      <c r="N51" s="20"/>
      <c r="O51" s="20"/>
      <c r="P51" s="20"/>
      <c r="Q51" s="20"/>
      <c r="R51" s="20"/>
      <c r="S51" s="20"/>
      <c r="T51" s="20"/>
      <c r="U51" s="20"/>
      <c r="V51" s="20"/>
      <c r="W51" s="20"/>
      <c r="X51" s="20"/>
    </row>
    <row r="52" ht="15.75" customHeight="1">
      <c r="A52" s="20"/>
      <c r="J52" s="20"/>
      <c r="K52" s="20"/>
      <c r="L52" s="20"/>
      <c r="M52" s="20"/>
      <c r="N52" s="20"/>
      <c r="O52" s="20"/>
      <c r="P52" s="20"/>
      <c r="Q52" s="20"/>
      <c r="R52" s="20"/>
      <c r="S52" s="20"/>
      <c r="T52" s="20"/>
      <c r="U52" s="20"/>
      <c r="V52" s="20"/>
      <c r="W52" s="20"/>
      <c r="X52" s="20"/>
    </row>
    <row r="53" ht="15.75" customHeight="1">
      <c r="A53" s="20"/>
      <c r="J53" s="20"/>
      <c r="K53" s="20"/>
      <c r="L53" s="20"/>
      <c r="M53" s="20"/>
      <c r="N53" s="20"/>
      <c r="O53" s="20"/>
      <c r="P53" s="20"/>
      <c r="Q53" s="20"/>
      <c r="R53" s="20"/>
      <c r="S53" s="20"/>
      <c r="T53" s="20"/>
      <c r="U53" s="20"/>
      <c r="V53" s="20"/>
      <c r="W53" s="20"/>
      <c r="X53" s="20"/>
    </row>
    <row r="54" ht="15.75" customHeight="1">
      <c r="A54" s="20"/>
      <c r="J54" s="20"/>
      <c r="K54" s="20"/>
      <c r="L54" s="20"/>
      <c r="M54" s="20"/>
      <c r="N54" s="20"/>
      <c r="O54" s="20"/>
      <c r="P54" s="20"/>
      <c r="Q54" s="20"/>
      <c r="R54" s="20"/>
      <c r="S54" s="20"/>
      <c r="T54" s="20"/>
      <c r="U54" s="20"/>
      <c r="V54" s="20"/>
      <c r="W54" s="20"/>
      <c r="X54" s="20"/>
    </row>
    <row r="55" ht="15.75" customHeight="1">
      <c r="A55" s="20"/>
      <c r="J55" s="20"/>
      <c r="K55" s="20"/>
      <c r="L55" s="20"/>
      <c r="M55" s="20"/>
      <c r="N55" s="20"/>
      <c r="O55" s="20"/>
      <c r="P55" s="20"/>
      <c r="Q55" s="20"/>
      <c r="R55" s="20"/>
      <c r="S55" s="20"/>
      <c r="T55" s="20"/>
      <c r="U55" s="20"/>
      <c r="V55" s="20"/>
      <c r="W55" s="20"/>
      <c r="X55" s="20"/>
    </row>
    <row r="56" ht="15.75" customHeight="1">
      <c r="A56" s="20"/>
      <c r="J56" s="20"/>
      <c r="K56" s="20"/>
      <c r="L56" s="20"/>
      <c r="M56" s="20"/>
      <c r="N56" s="20"/>
      <c r="O56" s="20"/>
      <c r="P56" s="20"/>
      <c r="Q56" s="20"/>
      <c r="R56" s="20"/>
      <c r="S56" s="20"/>
      <c r="T56" s="20"/>
      <c r="U56" s="20"/>
      <c r="V56" s="20"/>
      <c r="W56" s="20"/>
      <c r="X56" s="20"/>
    </row>
    <row r="57" ht="15.75" customHeight="1">
      <c r="A57" s="20"/>
      <c r="J57" s="20"/>
      <c r="K57" s="20"/>
      <c r="L57" s="20"/>
      <c r="M57" s="20"/>
      <c r="N57" s="20"/>
      <c r="O57" s="20"/>
      <c r="P57" s="20"/>
      <c r="Q57" s="20"/>
      <c r="R57" s="20"/>
      <c r="S57" s="20"/>
      <c r="T57" s="20"/>
      <c r="U57" s="20"/>
      <c r="V57" s="20"/>
      <c r="W57" s="20"/>
      <c r="X57" s="20"/>
    </row>
    <row r="58" ht="15.75" customHeight="1">
      <c r="A58" s="20"/>
      <c r="J58" s="20"/>
      <c r="K58" s="20"/>
      <c r="L58" s="20"/>
      <c r="M58" s="20"/>
      <c r="N58" s="20"/>
      <c r="O58" s="20"/>
      <c r="P58" s="20"/>
      <c r="Q58" s="20"/>
      <c r="R58" s="20"/>
      <c r="S58" s="20"/>
      <c r="T58" s="20"/>
      <c r="U58" s="20"/>
      <c r="V58" s="20"/>
      <c r="W58" s="20"/>
      <c r="X58" s="20"/>
    </row>
    <row r="59" ht="15.75" customHeight="1">
      <c r="A59" s="20"/>
      <c r="J59" s="20"/>
      <c r="K59" s="20"/>
      <c r="L59" s="20"/>
      <c r="M59" s="20"/>
      <c r="N59" s="20"/>
      <c r="O59" s="20"/>
      <c r="P59" s="20"/>
      <c r="Q59" s="20"/>
      <c r="R59" s="20"/>
      <c r="S59" s="20"/>
      <c r="T59" s="20"/>
      <c r="U59" s="20"/>
      <c r="V59" s="20"/>
      <c r="W59" s="20"/>
      <c r="X59" s="20"/>
    </row>
    <row r="60" ht="15.75" customHeight="1">
      <c r="A60" s="20"/>
      <c r="J60" s="20"/>
      <c r="K60" s="20"/>
      <c r="L60" s="20"/>
      <c r="M60" s="20"/>
      <c r="N60" s="20"/>
      <c r="O60" s="20"/>
      <c r="P60" s="20"/>
      <c r="Q60" s="20"/>
      <c r="R60" s="20"/>
      <c r="S60" s="20"/>
      <c r="T60" s="20"/>
      <c r="U60" s="20"/>
      <c r="V60" s="20"/>
      <c r="W60" s="20"/>
      <c r="X60" s="20"/>
    </row>
    <row r="61" ht="15.75" customHeight="1">
      <c r="A61" s="20"/>
      <c r="J61" s="20"/>
      <c r="K61" s="20"/>
      <c r="L61" s="20"/>
      <c r="M61" s="20"/>
      <c r="N61" s="20"/>
      <c r="O61" s="20"/>
      <c r="P61" s="20"/>
      <c r="Q61" s="20"/>
      <c r="R61" s="20"/>
      <c r="S61" s="20"/>
      <c r="T61" s="20"/>
      <c r="U61" s="20"/>
      <c r="V61" s="20"/>
      <c r="W61" s="20"/>
      <c r="X61" s="20"/>
    </row>
    <row r="62" ht="15.75" customHeight="1">
      <c r="A62" s="20"/>
      <c r="J62" s="20"/>
      <c r="K62" s="20"/>
      <c r="L62" s="20"/>
      <c r="M62" s="20"/>
      <c r="N62" s="20"/>
      <c r="O62" s="20"/>
      <c r="P62" s="20"/>
      <c r="Q62" s="20"/>
      <c r="R62" s="20"/>
      <c r="S62" s="20"/>
      <c r="T62" s="20"/>
      <c r="U62" s="20"/>
      <c r="V62" s="20"/>
      <c r="W62" s="20"/>
      <c r="X62" s="20"/>
    </row>
    <row r="63" ht="15.75" customHeight="1">
      <c r="A63" s="20"/>
      <c r="J63" s="20"/>
      <c r="K63" s="20"/>
      <c r="L63" s="20"/>
      <c r="M63" s="20"/>
      <c r="N63" s="20"/>
      <c r="O63" s="20"/>
      <c r="P63" s="20"/>
      <c r="Q63" s="20"/>
      <c r="R63" s="20"/>
      <c r="S63" s="20"/>
      <c r="T63" s="20"/>
      <c r="U63" s="20"/>
      <c r="V63" s="20"/>
      <c r="W63" s="20"/>
      <c r="X63" s="20"/>
    </row>
    <row r="64" ht="15.75" customHeight="1">
      <c r="A64" s="20"/>
      <c r="J64" s="20"/>
      <c r="K64" s="20"/>
      <c r="L64" s="20"/>
      <c r="M64" s="20"/>
      <c r="N64" s="20"/>
      <c r="O64" s="20"/>
      <c r="P64" s="20"/>
      <c r="Q64" s="20"/>
      <c r="R64" s="20"/>
      <c r="S64" s="20"/>
      <c r="T64" s="20"/>
      <c r="U64" s="20"/>
      <c r="V64" s="20"/>
      <c r="W64" s="20"/>
      <c r="X64" s="20"/>
    </row>
    <row r="65" ht="15.75" customHeight="1">
      <c r="A65" s="20"/>
      <c r="J65" s="20"/>
      <c r="K65" s="20"/>
      <c r="L65" s="20"/>
      <c r="M65" s="20"/>
      <c r="N65" s="20"/>
      <c r="O65" s="20"/>
      <c r="P65" s="20"/>
      <c r="Q65" s="20"/>
      <c r="R65" s="20"/>
      <c r="S65" s="20"/>
      <c r="T65" s="20"/>
      <c r="U65" s="20"/>
      <c r="V65" s="20"/>
      <c r="W65" s="20"/>
      <c r="X65" s="20"/>
    </row>
    <row r="66" ht="15.75" customHeight="1">
      <c r="A66" s="20"/>
      <c r="J66" s="20"/>
      <c r="K66" s="20"/>
      <c r="L66" s="20"/>
      <c r="M66" s="20"/>
      <c r="N66" s="20"/>
      <c r="O66" s="20"/>
      <c r="P66" s="20"/>
      <c r="Q66" s="20"/>
      <c r="R66" s="20"/>
      <c r="S66" s="20"/>
      <c r="T66" s="20"/>
      <c r="U66" s="20"/>
      <c r="V66" s="20"/>
      <c r="W66" s="20"/>
      <c r="X66" s="20"/>
    </row>
    <row r="67" ht="15.75" customHeight="1">
      <c r="A67" s="20"/>
      <c r="J67" s="20"/>
      <c r="K67" s="20"/>
      <c r="L67" s="20"/>
      <c r="M67" s="20"/>
      <c r="N67" s="20"/>
      <c r="O67" s="20"/>
      <c r="P67" s="20"/>
      <c r="Q67" s="20"/>
      <c r="R67" s="20"/>
      <c r="S67" s="20"/>
      <c r="T67" s="20"/>
      <c r="U67" s="20"/>
      <c r="V67" s="20"/>
      <c r="W67" s="20"/>
      <c r="X67" s="20"/>
    </row>
    <row r="68" ht="15.75" customHeight="1">
      <c r="A68" s="20"/>
      <c r="J68" s="20"/>
      <c r="K68" s="20"/>
      <c r="L68" s="20"/>
      <c r="M68" s="20"/>
      <c r="N68" s="20"/>
      <c r="O68" s="20"/>
      <c r="P68" s="20"/>
      <c r="Q68" s="20"/>
      <c r="R68" s="20"/>
      <c r="S68" s="20"/>
      <c r="T68" s="20"/>
      <c r="U68" s="20"/>
      <c r="V68" s="20"/>
      <c r="W68" s="20"/>
      <c r="X68" s="20"/>
    </row>
    <row r="69" ht="15.75" customHeight="1">
      <c r="A69" s="20"/>
      <c r="J69" s="20"/>
      <c r="K69" s="20"/>
      <c r="L69" s="20"/>
      <c r="M69" s="20"/>
      <c r="N69" s="20"/>
      <c r="O69" s="20"/>
      <c r="P69" s="20"/>
      <c r="Q69" s="20"/>
      <c r="R69" s="20"/>
      <c r="S69" s="20"/>
      <c r="T69" s="20"/>
      <c r="U69" s="20"/>
      <c r="V69" s="20"/>
      <c r="W69" s="20"/>
      <c r="X69" s="20"/>
    </row>
    <row r="70" ht="15.75" customHeight="1">
      <c r="A70" s="20"/>
      <c r="J70" s="20"/>
      <c r="K70" s="20"/>
      <c r="L70" s="20"/>
      <c r="M70" s="20"/>
      <c r="N70" s="20"/>
      <c r="O70" s="20"/>
      <c r="P70" s="20"/>
      <c r="Q70" s="20"/>
      <c r="R70" s="20"/>
      <c r="S70" s="20"/>
      <c r="T70" s="20"/>
      <c r="U70" s="20"/>
      <c r="V70" s="20"/>
      <c r="W70" s="20"/>
      <c r="X70" s="20"/>
    </row>
    <row r="71" ht="15.75" customHeight="1">
      <c r="A71" s="20"/>
      <c r="J71" s="20"/>
      <c r="K71" s="20"/>
      <c r="L71" s="20"/>
      <c r="M71" s="20"/>
      <c r="N71" s="20"/>
      <c r="O71" s="20"/>
      <c r="P71" s="20"/>
      <c r="Q71" s="20"/>
      <c r="R71" s="20"/>
      <c r="S71" s="20"/>
      <c r="T71" s="20"/>
      <c r="U71" s="20"/>
      <c r="V71" s="20"/>
      <c r="W71" s="20"/>
      <c r="X71" s="20"/>
    </row>
    <row r="72" ht="15.75" customHeight="1">
      <c r="A72" s="20"/>
      <c r="J72" s="20"/>
      <c r="K72" s="20"/>
      <c r="L72" s="20"/>
      <c r="M72" s="20"/>
      <c r="N72" s="20"/>
      <c r="O72" s="20"/>
      <c r="P72" s="20"/>
      <c r="Q72" s="20"/>
      <c r="R72" s="20"/>
      <c r="S72" s="20"/>
      <c r="T72" s="20"/>
      <c r="U72" s="20"/>
      <c r="V72" s="20"/>
      <c r="W72" s="20"/>
      <c r="X72" s="20"/>
    </row>
    <row r="73" ht="15.75" customHeight="1">
      <c r="A73" s="20"/>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
    <mergeCell ref="B2:P2"/>
    <mergeCell ref="B8:Z9"/>
    <mergeCell ref="B11:Z11"/>
    <mergeCell ref="B13:Z14"/>
    <mergeCell ref="B16:Y16"/>
  </mergeCells>
  <printOptions/>
  <pageMargins bottom="0.75" footer="0.0" header="0.0" left="0.7" right="0.7" top="0.75"/>
  <pageSetup paperSize="9" orientation="portrait"/>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16" width="9.14"/>
    <col customWidth="1" hidden="1" min="17" max="17" width="35.86"/>
    <col customWidth="1" hidden="1" min="18" max="18" width="22.0"/>
    <col customWidth="1" hidden="1" min="19" max="19" width="35.86"/>
    <col customWidth="1" hidden="1" min="20" max="20" width="22.0"/>
    <col customWidth="1" hidden="1" min="21" max="21" width="35.86"/>
    <col customWidth="1" hidden="1" min="22" max="22" width="22.0"/>
    <col customWidth="1" hidden="1" min="23"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ht="16.5" customHeight="1">
      <c r="A2" s="20"/>
      <c r="B2" s="35" t="s">
        <v>10</v>
      </c>
      <c r="Q2" s="20"/>
      <c r="R2" s="20"/>
      <c r="S2" s="20"/>
      <c r="T2" s="20"/>
      <c r="U2" s="20"/>
      <c r="V2" s="20"/>
      <c r="W2" s="20"/>
      <c r="X2" s="20"/>
    </row>
    <row r="3">
      <c r="A3" s="20"/>
      <c r="B3" s="48"/>
      <c r="C3" s="48"/>
      <c r="D3" s="48"/>
      <c r="E3" s="48"/>
      <c r="F3" s="48"/>
      <c r="G3" s="48"/>
      <c r="H3" s="48"/>
      <c r="I3" s="48"/>
      <c r="J3" s="48"/>
      <c r="K3" s="48"/>
      <c r="L3" s="48"/>
      <c r="M3" s="48"/>
      <c r="N3" s="48"/>
      <c r="O3" s="48"/>
      <c r="P3" s="48"/>
      <c r="Q3" s="20"/>
      <c r="R3" s="20"/>
      <c r="S3" s="20"/>
      <c r="T3" s="20"/>
      <c r="U3" s="20"/>
      <c r="V3" s="20"/>
      <c r="W3" s="20"/>
      <c r="X3" s="20"/>
    </row>
    <row r="4">
      <c r="A4" s="20"/>
      <c r="B4" s="52" t="s">
        <v>275</v>
      </c>
      <c r="C4" s="20"/>
      <c r="D4" s="20"/>
      <c r="E4" s="20"/>
      <c r="F4" s="20"/>
      <c r="G4" s="20"/>
      <c r="H4" s="20"/>
      <c r="I4" s="20"/>
      <c r="J4" s="20"/>
      <c r="K4" s="20"/>
      <c r="L4" s="20"/>
      <c r="M4" s="20"/>
      <c r="N4" s="20"/>
      <c r="O4" s="20"/>
      <c r="P4" s="20"/>
      <c r="Q4" s="20"/>
      <c r="R4" s="20"/>
      <c r="S4" s="20"/>
      <c r="T4" s="20"/>
      <c r="U4" s="20"/>
      <c r="V4" s="20"/>
      <c r="W4" s="20"/>
      <c r="X4" s="20"/>
    </row>
    <row r="5">
      <c r="A5" s="20"/>
      <c r="B5" s="20"/>
      <c r="C5" s="20"/>
      <c r="D5" s="20"/>
      <c r="E5" s="20"/>
      <c r="F5" s="20"/>
      <c r="G5" s="20"/>
      <c r="H5" s="20"/>
      <c r="I5" s="20"/>
      <c r="J5" s="20"/>
      <c r="K5" s="20"/>
      <c r="L5" s="20"/>
      <c r="M5" s="20"/>
      <c r="N5" s="20"/>
      <c r="O5" s="20"/>
      <c r="P5" s="20"/>
      <c r="Q5" s="20"/>
      <c r="R5" s="20"/>
      <c r="S5" s="20"/>
      <c r="T5" s="20"/>
      <c r="U5" s="20"/>
      <c r="V5" s="20"/>
      <c r="W5" s="20"/>
      <c r="X5" s="20"/>
    </row>
    <row r="6">
      <c r="A6" s="20"/>
      <c r="B6" s="52" t="s">
        <v>276</v>
      </c>
      <c r="C6" s="20"/>
      <c r="D6" s="20"/>
      <c r="E6" s="20"/>
      <c r="F6" s="20"/>
      <c r="G6" s="20"/>
      <c r="H6" s="20"/>
      <c r="I6" s="20"/>
      <c r="J6" s="20"/>
      <c r="K6" s="20"/>
      <c r="L6" s="20"/>
      <c r="M6" s="20"/>
      <c r="N6" s="20"/>
      <c r="O6" s="20"/>
      <c r="P6" s="20"/>
      <c r="Q6" s="20"/>
      <c r="R6" s="20"/>
      <c r="S6" s="20"/>
      <c r="T6" s="20"/>
      <c r="U6" s="20"/>
      <c r="V6" s="20"/>
      <c r="W6" s="20"/>
      <c r="X6" s="20"/>
    </row>
    <row r="7">
      <c r="A7" s="20"/>
      <c r="B7" s="20"/>
      <c r="C7" s="20"/>
      <c r="D7" s="20"/>
      <c r="E7" s="20"/>
      <c r="F7" s="20"/>
      <c r="G7" s="20"/>
      <c r="H7" s="20"/>
      <c r="I7" s="20"/>
      <c r="J7" s="20"/>
      <c r="K7" s="20"/>
      <c r="L7" s="20"/>
      <c r="M7" s="20"/>
      <c r="N7" s="20"/>
      <c r="O7" s="20"/>
      <c r="P7" s="20"/>
      <c r="Q7" s="20"/>
      <c r="R7" s="20"/>
      <c r="S7" s="20"/>
      <c r="T7" s="20"/>
      <c r="U7" s="20"/>
      <c r="V7" s="20"/>
      <c r="W7" s="20"/>
      <c r="X7" s="20"/>
    </row>
    <row r="8">
      <c r="A8" s="20"/>
      <c r="B8" s="52" t="s">
        <v>277</v>
      </c>
      <c r="C8" s="20"/>
      <c r="D8" s="20"/>
      <c r="E8" s="20"/>
      <c r="F8" s="20"/>
      <c r="G8" s="20"/>
      <c r="H8" s="20"/>
      <c r="I8" s="20"/>
      <c r="J8" s="20"/>
      <c r="K8" s="20"/>
      <c r="L8" s="20"/>
      <c r="M8" s="20"/>
      <c r="N8" s="20"/>
      <c r="O8" s="20"/>
      <c r="P8" s="20"/>
      <c r="Q8" s="20"/>
      <c r="R8" s="20"/>
      <c r="S8" s="20"/>
      <c r="T8" s="20"/>
      <c r="U8" s="20"/>
      <c r="V8" s="20"/>
      <c r="W8" s="20"/>
      <c r="X8" s="20"/>
    </row>
    <row r="9">
      <c r="A9" s="20"/>
      <c r="B9" s="20"/>
      <c r="C9" s="20"/>
      <c r="D9" s="20"/>
      <c r="E9" s="20"/>
      <c r="F9" s="20"/>
      <c r="G9" s="20"/>
      <c r="H9" s="20"/>
      <c r="I9" s="20"/>
      <c r="J9" s="20"/>
      <c r="K9" s="20"/>
      <c r="L9" s="20"/>
      <c r="M9" s="20"/>
      <c r="N9" s="20"/>
      <c r="O9" s="20"/>
      <c r="P9" s="20"/>
      <c r="Q9" s="20"/>
      <c r="R9" s="20"/>
      <c r="S9" s="20"/>
      <c r="T9" s="20"/>
      <c r="U9" s="20"/>
      <c r="V9" s="20"/>
      <c r="W9" s="20"/>
      <c r="X9" s="20"/>
    </row>
    <row r="10">
      <c r="A10" s="20"/>
      <c r="B10" s="52" t="s">
        <v>278</v>
      </c>
      <c r="C10" s="20"/>
      <c r="D10" s="20"/>
      <c r="E10" s="20"/>
      <c r="F10" s="20"/>
      <c r="G10" s="20"/>
      <c r="H10" s="20"/>
      <c r="I10" s="20"/>
      <c r="J10" s="20"/>
      <c r="K10" s="20"/>
      <c r="L10" s="20"/>
      <c r="M10" s="20"/>
      <c r="N10" s="20"/>
      <c r="O10" s="20"/>
      <c r="P10" s="20"/>
      <c r="Q10" s="20"/>
      <c r="R10" s="20"/>
      <c r="S10" s="20"/>
      <c r="T10" s="20"/>
      <c r="U10" s="20"/>
      <c r="V10" s="20"/>
      <c r="W10" s="20"/>
      <c r="X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row>
    <row r="12">
      <c r="A12" s="20"/>
      <c r="B12" s="52" t="s">
        <v>279</v>
      </c>
      <c r="C12" s="20"/>
      <c r="D12" s="20"/>
      <c r="E12" s="20"/>
      <c r="F12" s="20"/>
      <c r="G12" s="20"/>
      <c r="H12" s="20"/>
      <c r="I12" s="20"/>
      <c r="J12" s="20"/>
      <c r="K12" s="20"/>
      <c r="L12" s="20"/>
      <c r="M12" s="20"/>
      <c r="N12" s="20"/>
      <c r="O12" s="20"/>
      <c r="P12" s="20"/>
      <c r="Q12" s="20"/>
      <c r="R12" s="20"/>
      <c r="S12" s="20"/>
      <c r="T12" s="20"/>
      <c r="U12" s="20"/>
      <c r="V12" s="20"/>
      <c r="W12" s="20"/>
      <c r="X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row>
    <row r="14">
      <c r="A14" s="20"/>
      <c r="B14" s="52" t="s">
        <v>280</v>
      </c>
      <c r="C14" s="20"/>
      <c r="D14" s="20"/>
      <c r="E14" s="20"/>
      <c r="F14" s="20"/>
      <c r="G14" s="20"/>
      <c r="H14" s="20"/>
      <c r="I14" s="20"/>
      <c r="J14" s="20"/>
      <c r="K14" s="20"/>
      <c r="L14" s="20"/>
      <c r="M14" s="20"/>
      <c r="N14" s="20"/>
      <c r="O14" s="20"/>
      <c r="P14" s="20"/>
      <c r="Q14" s="20"/>
      <c r="R14" s="20"/>
      <c r="S14" s="20"/>
      <c r="T14" s="20"/>
      <c r="U14" s="20"/>
      <c r="V14" s="20"/>
      <c r="W14" s="20"/>
      <c r="X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row>
    <row r="16">
      <c r="A16" s="20"/>
      <c r="B16" s="52" t="s">
        <v>281</v>
      </c>
      <c r="C16" s="20"/>
      <c r="D16" s="20"/>
      <c r="E16" s="20"/>
      <c r="F16" s="20"/>
      <c r="G16" s="20"/>
      <c r="H16" s="20"/>
      <c r="I16" s="20"/>
      <c r="J16" s="20"/>
      <c r="K16" s="20"/>
      <c r="L16" s="20"/>
      <c r="M16" s="20"/>
      <c r="N16" s="20"/>
      <c r="O16" s="20"/>
      <c r="P16" s="20"/>
      <c r="Q16" s="20"/>
      <c r="R16" s="20"/>
      <c r="S16" s="20"/>
      <c r="T16" s="20"/>
      <c r="U16" s="20"/>
      <c r="V16" s="20"/>
      <c r="W16" s="20"/>
      <c r="X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row>
    <row r="18">
      <c r="A18" s="20"/>
      <c r="B18" s="52" t="s">
        <v>282</v>
      </c>
      <c r="C18" s="20"/>
      <c r="D18" s="20"/>
      <c r="E18" s="20"/>
      <c r="F18" s="20"/>
      <c r="G18" s="52" t="s">
        <v>283</v>
      </c>
      <c r="H18" s="20"/>
      <c r="I18" s="20"/>
      <c r="J18" s="20"/>
      <c r="K18" s="52" t="s">
        <v>284</v>
      </c>
      <c r="L18" s="20"/>
      <c r="M18" s="20"/>
      <c r="N18" s="20"/>
      <c r="O18" s="20"/>
      <c r="P18" s="20"/>
      <c r="Q18" s="20"/>
      <c r="R18" s="20"/>
      <c r="S18" s="20"/>
      <c r="T18" s="20"/>
      <c r="U18" s="20"/>
      <c r="V18" s="20"/>
      <c r="W18" s="20"/>
      <c r="X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row>
    <row r="20" ht="15.75" customHeight="1">
      <c r="A20" s="20"/>
      <c r="B20" s="52" t="s">
        <v>285</v>
      </c>
      <c r="C20" s="20"/>
      <c r="D20" s="20"/>
      <c r="E20" s="20"/>
      <c r="F20" s="20"/>
      <c r="G20" s="20"/>
      <c r="H20" s="20"/>
      <c r="I20" s="20"/>
      <c r="J20" s="20"/>
      <c r="K20" s="20"/>
      <c r="L20" s="20"/>
      <c r="M20" s="20"/>
      <c r="N20" s="20"/>
      <c r="O20" s="20"/>
      <c r="P20" s="20"/>
      <c r="Q20" s="20"/>
      <c r="R20" s="20"/>
      <c r="S20" s="20"/>
      <c r="T20" s="20"/>
      <c r="U20" s="20"/>
      <c r="V20" s="20"/>
      <c r="W20" s="20"/>
      <c r="X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row>
    <row r="22" ht="15.75" customHeight="1">
      <c r="A22" s="20"/>
      <c r="B22" s="52" t="s">
        <v>286</v>
      </c>
      <c r="C22" s="20"/>
      <c r="D22" s="20"/>
      <c r="E22" s="20"/>
      <c r="F22" s="20"/>
      <c r="G22" s="52" t="s">
        <v>287</v>
      </c>
      <c r="H22" s="20"/>
      <c r="I22" s="20"/>
      <c r="J22" s="20"/>
      <c r="K22" s="20"/>
      <c r="L22" s="20"/>
      <c r="M22" s="20"/>
      <c r="N22" s="20"/>
      <c r="O22" s="20"/>
      <c r="P22" s="20"/>
      <c r="Q22" s="20"/>
      <c r="R22" s="20"/>
      <c r="S22" s="20"/>
      <c r="T22" s="20"/>
      <c r="U22" s="20"/>
      <c r="V22" s="20"/>
      <c r="W22" s="20"/>
      <c r="X22" s="20"/>
    </row>
    <row r="23" ht="15.75" customHeight="1">
      <c r="A23" s="20"/>
      <c r="B23" s="20"/>
      <c r="C23" s="20"/>
      <c r="D23" s="20"/>
      <c r="E23" s="20"/>
      <c r="F23" s="20"/>
      <c r="G23" s="20"/>
      <c r="H23" s="20"/>
      <c r="I23" s="20"/>
      <c r="J23" s="20"/>
      <c r="K23" s="20"/>
      <c r="L23" s="20"/>
      <c r="M23" s="20"/>
      <c r="N23" s="20"/>
      <c r="O23" s="20"/>
      <c r="P23" s="20"/>
      <c r="Q23" s="23"/>
      <c r="R23" s="20"/>
      <c r="S23" s="20"/>
      <c r="T23" s="20"/>
      <c r="U23" s="20"/>
      <c r="V23" s="20"/>
      <c r="W23" s="20"/>
      <c r="X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row>
    <row r="25" ht="15.75" customHeight="1">
      <c r="A25" s="20"/>
      <c r="B25" s="20"/>
      <c r="C25" s="20"/>
      <c r="D25" s="20"/>
      <c r="E25" s="20"/>
      <c r="F25" s="20"/>
      <c r="G25" s="20"/>
      <c r="H25" s="20"/>
      <c r="I25" s="20"/>
      <c r="J25" s="20"/>
      <c r="K25" s="20"/>
      <c r="L25" s="20"/>
      <c r="M25" s="20"/>
      <c r="N25" s="20"/>
      <c r="O25" s="20"/>
      <c r="P25" s="20"/>
      <c r="Q25" s="23"/>
      <c r="R25" s="20"/>
      <c r="S25" s="20"/>
      <c r="T25" s="20"/>
      <c r="U25" s="20"/>
      <c r="V25" s="20"/>
      <c r="W25" s="20"/>
      <c r="X25" s="20"/>
    </row>
    <row r="26" ht="15.75" customHeight="1">
      <c r="A26" s="20"/>
      <c r="B26" s="20"/>
      <c r="C26" s="20"/>
      <c r="D26" s="20"/>
      <c r="E26" s="20"/>
      <c r="F26" s="20"/>
      <c r="G26" s="20"/>
      <c r="H26" s="20"/>
      <c r="I26" s="20"/>
      <c r="J26" s="20"/>
      <c r="K26" s="20"/>
      <c r="L26" s="20"/>
      <c r="M26" s="20"/>
      <c r="N26" s="20"/>
      <c r="O26" s="20"/>
      <c r="P26" s="20"/>
      <c r="Q26" s="46"/>
      <c r="R26" s="20"/>
      <c r="S26" s="20"/>
      <c r="T26" s="20"/>
      <c r="U26" s="20"/>
      <c r="V26" s="20"/>
      <c r="W26" s="20"/>
      <c r="X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row>
    <row r="38" ht="15.75" customHeight="1">
      <c r="A38" s="20"/>
      <c r="B38" s="20"/>
      <c r="C38" s="20"/>
      <c r="D38" s="20"/>
      <c r="E38" s="20"/>
      <c r="F38" s="20"/>
      <c r="G38" s="20"/>
      <c r="H38" s="20"/>
      <c r="I38" s="20"/>
      <c r="J38" s="20"/>
      <c r="K38" s="20"/>
      <c r="L38" s="46"/>
      <c r="M38" s="20"/>
      <c r="N38" s="20"/>
      <c r="O38" s="20"/>
      <c r="P38" s="20"/>
      <c r="Q38" s="20"/>
      <c r="R38" s="20"/>
      <c r="S38" s="20"/>
      <c r="T38" s="20"/>
      <c r="U38" s="20"/>
      <c r="V38" s="20"/>
      <c r="W38" s="20"/>
      <c r="X38" s="20"/>
    </row>
    <row r="39" ht="15.75" customHeight="1">
      <c r="A39" s="20"/>
      <c r="B39" s="20"/>
      <c r="C39" s="20"/>
      <c r="D39" s="20"/>
      <c r="E39" s="20"/>
      <c r="F39" s="20"/>
      <c r="G39" s="20"/>
      <c r="H39" s="20"/>
      <c r="I39" s="20"/>
      <c r="J39" s="20"/>
      <c r="K39" s="20"/>
      <c r="L39" s="46"/>
      <c r="M39" s="20"/>
      <c r="N39" s="20"/>
      <c r="O39" s="20"/>
      <c r="P39" s="20"/>
      <c r="Q39" s="20"/>
      <c r="R39" s="20"/>
      <c r="S39" s="20"/>
      <c r="T39" s="20"/>
      <c r="U39" s="20"/>
      <c r="V39" s="20"/>
      <c r="W39" s="20"/>
      <c r="X39" s="20"/>
    </row>
    <row r="40" ht="15.75" customHeight="1">
      <c r="A40" s="20"/>
      <c r="B40" s="20"/>
      <c r="C40" s="20"/>
      <c r="D40" s="20"/>
      <c r="E40" s="20"/>
      <c r="F40" s="20"/>
      <c r="G40" s="20"/>
      <c r="H40" s="20"/>
      <c r="I40" s="20"/>
      <c r="J40" s="20"/>
      <c r="K40" s="20"/>
      <c r="L40" s="46"/>
      <c r="M40" s="20"/>
      <c r="N40" s="20"/>
      <c r="O40" s="20"/>
      <c r="P40" s="20"/>
      <c r="Q40" s="20"/>
      <c r="R40" s="20"/>
      <c r="S40" s="20"/>
      <c r="T40" s="20"/>
      <c r="U40" s="20"/>
      <c r="V40" s="20"/>
      <c r="W40" s="20"/>
      <c r="X40" s="20"/>
    </row>
    <row r="41" ht="15.75" customHeight="1">
      <c r="A41" s="20"/>
      <c r="B41" s="20"/>
      <c r="C41" s="20"/>
      <c r="D41" s="20"/>
      <c r="E41" s="20"/>
      <c r="F41" s="20"/>
      <c r="G41" s="20"/>
      <c r="H41" s="20"/>
      <c r="I41" s="20"/>
      <c r="J41" s="20"/>
      <c r="K41" s="20"/>
      <c r="L41" s="46"/>
      <c r="M41" s="47"/>
      <c r="N41" s="20"/>
      <c r="O41" s="20"/>
      <c r="P41" s="20"/>
      <c r="Q41" s="20"/>
      <c r="R41" s="20"/>
      <c r="S41" s="20"/>
      <c r="T41" s="20"/>
      <c r="U41" s="20"/>
      <c r="V41" s="20"/>
      <c r="W41" s="20"/>
      <c r="X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2:P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9.71"/>
    <col customWidth="1" min="3" max="9" width="10.86"/>
    <col customWidth="1" min="10" max="16" width="9.14"/>
    <col customWidth="1" hidden="1" min="17" max="24" width="10.71"/>
    <col customWidth="1" min="25" max="26" width="10.71"/>
  </cols>
  <sheetData>
    <row r="1" ht="54.75" customHeight="1">
      <c r="A1" s="1"/>
      <c r="B1" s="1"/>
      <c r="C1" s="1"/>
      <c r="D1" s="2" t="s">
        <v>0</v>
      </c>
      <c r="E1" s="1"/>
      <c r="F1" s="1"/>
      <c r="G1" s="1"/>
      <c r="H1" s="1"/>
      <c r="I1" s="1"/>
      <c r="J1" s="1"/>
      <c r="K1" s="1"/>
      <c r="L1" s="1"/>
      <c r="M1" s="20"/>
      <c r="N1" s="20"/>
      <c r="O1" s="20"/>
      <c r="P1" s="20"/>
      <c r="Q1" s="20"/>
      <c r="R1" s="20"/>
      <c r="S1" s="20"/>
      <c r="T1" s="20"/>
      <c r="U1" s="20"/>
      <c r="V1" s="20"/>
      <c r="W1" s="20"/>
      <c r="X1" s="20"/>
    </row>
    <row r="2">
      <c r="A2" s="20"/>
      <c r="B2" s="38" t="s">
        <v>288</v>
      </c>
      <c r="Y2" s="38"/>
      <c r="Z2" s="38"/>
    </row>
    <row r="3">
      <c r="A3" s="20"/>
      <c r="B3" s="36" t="s">
        <v>289</v>
      </c>
      <c r="Q3" s="20"/>
      <c r="R3" s="20"/>
      <c r="S3" s="20"/>
      <c r="T3" s="20"/>
      <c r="U3" s="20"/>
      <c r="V3" s="20"/>
      <c r="W3" s="20"/>
      <c r="X3" s="20"/>
    </row>
    <row r="4">
      <c r="A4" s="20"/>
      <c r="B4" s="20"/>
      <c r="C4" s="20"/>
      <c r="D4" s="20"/>
      <c r="E4" s="20"/>
      <c r="F4" s="20"/>
      <c r="G4" s="20"/>
      <c r="H4" s="20"/>
      <c r="I4" s="20"/>
      <c r="J4" s="20"/>
      <c r="K4" s="20"/>
      <c r="L4" s="20"/>
      <c r="M4" s="20"/>
      <c r="N4" s="20"/>
      <c r="O4" s="20"/>
      <c r="P4" s="20"/>
      <c r="Q4" s="20"/>
      <c r="R4" s="20"/>
      <c r="S4" s="20"/>
      <c r="T4" s="20"/>
      <c r="U4" s="20"/>
      <c r="V4" s="20"/>
      <c r="W4" s="20"/>
      <c r="X4" s="20"/>
    </row>
    <row r="5">
      <c r="A5" s="20"/>
      <c r="B5" s="67" t="s">
        <v>290</v>
      </c>
    </row>
    <row r="6">
      <c r="A6" s="20"/>
    </row>
    <row r="7" ht="25.5" customHeight="1">
      <c r="A7" s="20"/>
      <c r="B7" s="64" t="s">
        <v>291</v>
      </c>
    </row>
    <row r="8" ht="21.0" customHeight="1">
      <c r="A8" s="20"/>
    </row>
    <row r="9">
      <c r="A9" s="20"/>
      <c r="B9" s="20"/>
      <c r="C9" s="20"/>
      <c r="D9" s="20"/>
      <c r="E9" s="20"/>
      <c r="F9" s="20"/>
      <c r="G9" s="20"/>
      <c r="H9" s="20"/>
      <c r="I9" s="20"/>
      <c r="J9" s="20"/>
      <c r="K9" s="20"/>
      <c r="L9" s="20"/>
      <c r="M9" s="20"/>
      <c r="N9" s="20"/>
      <c r="O9" s="20"/>
      <c r="P9" s="20"/>
      <c r="Q9" s="20"/>
      <c r="R9" s="20"/>
      <c r="S9" s="20"/>
      <c r="T9" s="20"/>
      <c r="U9" s="20"/>
      <c r="V9" s="20"/>
      <c r="W9" s="20"/>
      <c r="X9" s="20"/>
    </row>
    <row r="10">
      <c r="A10" s="20"/>
      <c r="B10" s="68" t="s">
        <v>292</v>
      </c>
      <c r="C10" s="20"/>
      <c r="D10" s="20"/>
      <c r="E10" s="20"/>
      <c r="F10" s="20"/>
      <c r="G10" s="68" t="s">
        <v>293</v>
      </c>
      <c r="H10" s="20"/>
      <c r="I10" s="20"/>
      <c r="J10" s="47">
        <f>SUM(G11:G15)</f>
        <v>161</v>
      </c>
      <c r="K10" s="20"/>
      <c r="L10" s="20"/>
      <c r="M10" s="20"/>
      <c r="N10" s="20"/>
      <c r="O10" s="20"/>
      <c r="P10" s="20"/>
      <c r="Q10" s="20"/>
      <c r="R10" s="20"/>
      <c r="S10" s="20"/>
      <c r="T10" s="20"/>
      <c r="U10" s="20"/>
      <c r="V10" s="20"/>
      <c r="W10" s="20"/>
      <c r="X10" s="20"/>
    </row>
    <row r="11">
      <c r="A11" s="20"/>
      <c r="B11" s="52" t="s">
        <v>294</v>
      </c>
      <c r="C11" s="20"/>
      <c r="D11" s="20"/>
      <c r="E11" s="20"/>
      <c r="F11" s="20"/>
      <c r="G11" s="68">
        <v>47.0</v>
      </c>
      <c r="H11" s="20"/>
      <c r="I11" s="20"/>
      <c r="J11" s="20"/>
      <c r="K11" s="20"/>
      <c r="L11" s="20"/>
      <c r="M11" s="20"/>
      <c r="N11" s="20"/>
      <c r="O11" s="20"/>
      <c r="P11" s="20"/>
      <c r="Q11" s="20"/>
      <c r="R11" s="20"/>
      <c r="S11" s="20"/>
      <c r="T11" s="20"/>
      <c r="U11" s="20"/>
      <c r="V11" s="20"/>
      <c r="W11" s="20"/>
      <c r="X11" s="20"/>
    </row>
    <row r="12">
      <c r="A12" s="20"/>
      <c r="B12" s="52" t="s">
        <v>295</v>
      </c>
      <c r="C12" s="20"/>
      <c r="D12" s="20"/>
      <c r="E12" s="20"/>
      <c r="F12" s="20"/>
      <c r="G12" s="68">
        <v>29.0</v>
      </c>
      <c r="H12" s="20"/>
      <c r="I12" s="20"/>
      <c r="J12" s="20"/>
      <c r="K12" s="20"/>
      <c r="L12" s="20"/>
      <c r="M12" s="20"/>
      <c r="N12" s="20"/>
      <c r="O12" s="20"/>
      <c r="P12" s="20"/>
      <c r="Q12" s="20"/>
      <c r="R12" s="20"/>
      <c r="S12" s="20"/>
      <c r="T12" s="20"/>
      <c r="U12" s="20"/>
      <c r="V12" s="20"/>
      <c r="W12" s="20"/>
      <c r="X12" s="20"/>
    </row>
    <row r="13">
      <c r="A13" s="20"/>
      <c r="B13" s="52" t="s">
        <v>296</v>
      </c>
      <c r="C13" s="20"/>
      <c r="D13" s="20"/>
      <c r="E13" s="20"/>
      <c r="F13" s="20"/>
      <c r="G13" s="68">
        <v>31.0</v>
      </c>
      <c r="H13" s="20"/>
      <c r="I13" s="20"/>
      <c r="J13" s="20"/>
      <c r="K13" s="20"/>
      <c r="L13" s="20"/>
      <c r="M13" s="20"/>
      <c r="N13" s="20"/>
      <c r="O13" s="20"/>
      <c r="P13" s="20"/>
      <c r="Q13" s="20"/>
      <c r="R13" s="20"/>
      <c r="S13" s="20"/>
      <c r="T13" s="20"/>
      <c r="U13" s="20"/>
      <c r="V13" s="20"/>
      <c r="W13" s="20"/>
      <c r="X13" s="20"/>
    </row>
    <row r="14">
      <c r="A14" s="20"/>
      <c r="B14" s="52" t="s">
        <v>297</v>
      </c>
      <c r="C14" s="20"/>
      <c r="D14" s="20"/>
      <c r="E14" s="20"/>
      <c r="F14" s="20"/>
      <c r="G14" s="68">
        <v>36.0</v>
      </c>
      <c r="H14" s="20"/>
      <c r="I14" s="20"/>
      <c r="J14" s="20"/>
      <c r="K14" s="20"/>
      <c r="L14" s="20"/>
      <c r="M14" s="20"/>
      <c r="N14" s="20"/>
      <c r="O14" s="20"/>
      <c r="P14" s="20"/>
      <c r="Q14" s="20"/>
      <c r="R14" s="20"/>
      <c r="S14" s="20"/>
      <c r="T14" s="20"/>
      <c r="U14" s="20"/>
      <c r="V14" s="20"/>
      <c r="W14" s="20"/>
      <c r="X14" s="20"/>
    </row>
    <row r="15">
      <c r="A15" s="20"/>
      <c r="B15" s="52" t="s">
        <v>298</v>
      </c>
      <c r="C15" s="20"/>
      <c r="D15" s="20"/>
      <c r="E15" s="20"/>
      <c r="F15" s="20"/>
      <c r="G15" s="68">
        <v>18.0</v>
      </c>
      <c r="H15" s="20"/>
      <c r="I15" s="20"/>
      <c r="J15" s="20"/>
      <c r="K15" s="20"/>
      <c r="L15" s="20"/>
      <c r="M15" s="20"/>
      <c r="N15" s="20"/>
      <c r="O15" s="20"/>
      <c r="P15" s="20"/>
      <c r="Q15" s="20"/>
      <c r="R15" s="20"/>
      <c r="S15" s="20"/>
      <c r="T15" s="20"/>
      <c r="U15" s="20"/>
      <c r="V15" s="20"/>
      <c r="W15" s="20"/>
      <c r="X15" s="20"/>
    </row>
    <row r="16">
      <c r="A16" s="20"/>
      <c r="B16" s="69"/>
      <c r="C16" s="20"/>
      <c r="D16" s="20"/>
      <c r="E16" s="20"/>
      <c r="F16" s="20"/>
      <c r="G16" s="20"/>
      <c r="H16" s="20"/>
      <c r="I16" s="20"/>
      <c r="J16" s="20"/>
      <c r="K16" s="20"/>
      <c r="L16" s="20"/>
      <c r="M16" s="20"/>
      <c r="N16" s="20"/>
      <c r="O16" s="20"/>
      <c r="P16" s="20"/>
      <c r="Q16" s="20"/>
      <c r="R16" s="20"/>
      <c r="S16" s="20"/>
      <c r="T16" s="20"/>
      <c r="U16" s="20"/>
      <c r="V16" s="20"/>
      <c r="W16" s="20"/>
      <c r="X16" s="20"/>
    </row>
    <row r="17">
      <c r="A17" s="20"/>
      <c r="C17" s="20"/>
      <c r="D17" s="20"/>
      <c r="E17" s="20"/>
      <c r="F17" s="20"/>
      <c r="G17" s="20"/>
      <c r="H17" s="20"/>
      <c r="I17" s="20"/>
      <c r="J17" s="20"/>
      <c r="K17" s="20"/>
      <c r="L17" s="20"/>
      <c r="M17" s="20"/>
      <c r="N17" s="20"/>
      <c r="O17" s="20"/>
      <c r="P17" s="20"/>
      <c r="Q17" s="20"/>
      <c r="R17" s="20"/>
      <c r="S17" s="20"/>
      <c r="T17" s="20"/>
      <c r="U17" s="20"/>
      <c r="V17" s="20"/>
      <c r="W17" s="20"/>
      <c r="X17" s="20"/>
    </row>
    <row r="18">
      <c r="A18" s="20"/>
      <c r="B18" s="69"/>
      <c r="C18" s="20"/>
      <c r="D18" s="20"/>
      <c r="E18" s="20"/>
      <c r="F18" s="20"/>
      <c r="G18" s="20"/>
      <c r="H18" s="20"/>
      <c r="I18" s="20"/>
      <c r="J18" s="20"/>
      <c r="K18" s="20"/>
      <c r="L18" s="20"/>
      <c r="M18" s="20"/>
      <c r="N18" s="20"/>
      <c r="O18" s="20"/>
      <c r="P18" s="20"/>
      <c r="Q18" s="20"/>
      <c r="R18" s="20"/>
      <c r="S18" s="20"/>
      <c r="T18" s="20"/>
      <c r="U18" s="20"/>
      <c r="V18" s="20"/>
      <c r="W18" s="20"/>
      <c r="X18" s="20"/>
    </row>
    <row r="19">
      <c r="A19" s="20"/>
      <c r="C19" s="20"/>
      <c r="D19" s="20"/>
      <c r="E19" s="20"/>
      <c r="F19" s="20"/>
      <c r="G19" s="20"/>
      <c r="H19" s="20"/>
      <c r="I19" s="20"/>
      <c r="J19" s="20"/>
      <c r="K19" s="20"/>
      <c r="L19" s="20"/>
      <c r="M19" s="20"/>
      <c r="N19" s="20"/>
      <c r="O19" s="20"/>
      <c r="P19" s="20"/>
      <c r="Q19" s="20"/>
      <c r="R19" s="20"/>
      <c r="S19" s="20"/>
      <c r="T19" s="20"/>
      <c r="U19" s="20"/>
      <c r="V19" s="20"/>
      <c r="W19" s="20"/>
      <c r="X19" s="20"/>
    </row>
    <row r="20">
      <c r="A20" s="20"/>
      <c r="J20" s="20"/>
      <c r="K20" s="20"/>
      <c r="L20" s="20"/>
      <c r="M20" s="20"/>
      <c r="N20" s="20"/>
      <c r="O20" s="20"/>
      <c r="P20" s="45"/>
      <c r="Q20" s="20"/>
      <c r="R20" s="20"/>
      <c r="S20" s="20"/>
      <c r="T20" s="20"/>
      <c r="U20" s="20"/>
      <c r="V20" s="20"/>
      <c r="W20" s="20"/>
      <c r="X20" s="20"/>
    </row>
    <row r="21">
      <c r="A21" s="20"/>
      <c r="J21" s="20"/>
      <c r="K21" s="20"/>
      <c r="L21" s="20"/>
      <c r="M21" s="20"/>
      <c r="N21" s="20"/>
      <c r="O21" s="20"/>
      <c r="P21" s="45"/>
      <c r="Q21" s="20"/>
      <c r="R21" s="20"/>
      <c r="S21" s="20"/>
      <c r="T21" s="20"/>
      <c r="U21" s="20"/>
      <c r="V21" s="20"/>
      <c r="W21" s="20"/>
      <c r="X21" s="20"/>
    </row>
    <row r="22">
      <c r="A22" s="20"/>
      <c r="J22" s="20"/>
      <c r="K22" s="20"/>
      <c r="L22" s="20"/>
      <c r="M22" s="20"/>
      <c r="N22" s="20"/>
      <c r="O22" s="20"/>
      <c r="P22" s="45"/>
      <c r="Q22" s="20"/>
      <c r="R22" s="20"/>
      <c r="S22" s="20"/>
      <c r="T22" s="20"/>
      <c r="U22" s="20"/>
      <c r="V22" s="20"/>
      <c r="W22" s="20"/>
      <c r="X22" s="20"/>
    </row>
    <row r="23">
      <c r="A23" s="20"/>
      <c r="J23" s="20"/>
      <c r="K23" s="20"/>
      <c r="L23" s="20"/>
      <c r="M23" s="20"/>
      <c r="N23" s="20"/>
      <c r="O23" s="20"/>
      <c r="P23" s="45"/>
      <c r="Q23" s="20"/>
      <c r="R23" s="20"/>
      <c r="S23" s="20"/>
      <c r="T23" s="20"/>
      <c r="U23" s="20"/>
      <c r="V23" s="20"/>
      <c r="W23" s="20"/>
      <c r="X23" s="20"/>
    </row>
    <row r="24">
      <c r="A24" s="20"/>
      <c r="J24" s="20"/>
      <c r="K24" s="20"/>
      <c r="L24" s="20"/>
      <c r="M24" s="20"/>
      <c r="N24" s="20"/>
      <c r="O24" s="20"/>
      <c r="P24" s="45"/>
      <c r="Q24" s="20"/>
      <c r="R24" s="20"/>
      <c r="S24" s="20"/>
      <c r="T24" s="20"/>
      <c r="U24" s="20"/>
      <c r="V24" s="20"/>
      <c r="W24" s="20"/>
      <c r="X24" s="20"/>
    </row>
    <row r="25">
      <c r="A25" s="20"/>
      <c r="J25" s="20"/>
      <c r="K25" s="20"/>
      <c r="L25" s="20"/>
      <c r="M25" s="20"/>
      <c r="N25" s="20"/>
      <c r="O25" s="20"/>
      <c r="P25" s="45"/>
      <c r="Q25" s="20"/>
      <c r="R25" s="20"/>
      <c r="S25" s="20"/>
      <c r="T25" s="20"/>
      <c r="U25" s="20"/>
      <c r="V25" s="20"/>
      <c r="W25" s="20"/>
      <c r="X25" s="20"/>
    </row>
    <row r="26">
      <c r="A26" s="20"/>
      <c r="J26" s="20"/>
      <c r="K26" s="20"/>
      <c r="L26" s="20"/>
      <c r="M26" s="20"/>
      <c r="N26" s="20"/>
      <c r="O26" s="20"/>
      <c r="P26" s="45"/>
      <c r="Q26" s="20"/>
      <c r="R26" s="20"/>
      <c r="S26" s="20"/>
      <c r="T26" s="20"/>
      <c r="U26" s="20"/>
      <c r="V26" s="20"/>
      <c r="W26" s="20"/>
      <c r="X26" s="20"/>
    </row>
    <row r="27">
      <c r="A27" s="20"/>
      <c r="J27" s="20"/>
      <c r="K27" s="20"/>
      <c r="L27" s="20"/>
      <c r="M27" s="20"/>
      <c r="N27" s="20"/>
      <c r="O27" s="20"/>
      <c r="P27" s="45"/>
      <c r="Q27" s="20"/>
      <c r="R27" s="20"/>
      <c r="S27" s="20"/>
      <c r="T27" s="20"/>
      <c r="U27" s="20"/>
      <c r="V27" s="20"/>
      <c r="W27" s="20"/>
      <c r="X27" s="20"/>
    </row>
    <row r="28">
      <c r="A28" s="20"/>
      <c r="J28" s="20"/>
      <c r="K28" s="20"/>
      <c r="L28" s="20"/>
      <c r="M28" s="20"/>
      <c r="N28" s="20"/>
      <c r="O28" s="20"/>
      <c r="P28" s="45"/>
      <c r="Q28" s="20"/>
      <c r="R28" s="20"/>
      <c r="S28" s="20"/>
      <c r="T28" s="20"/>
      <c r="U28" s="20"/>
      <c r="V28" s="20"/>
      <c r="W28" s="20"/>
      <c r="X28" s="20"/>
    </row>
    <row r="29">
      <c r="A29" s="20"/>
      <c r="J29" s="20"/>
      <c r="K29" s="20"/>
      <c r="L29" s="20"/>
      <c r="M29" s="20"/>
      <c r="N29" s="20"/>
      <c r="O29" s="20"/>
      <c r="P29" s="45"/>
      <c r="Q29" s="20"/>
      <c r="R29" s="20"/>
      <c r="S29" s="20"/>
      <c r="T29" s="20"/>
      <c r="U29" s="20"/>
      <c r="V29" s="20"/>
      <c r="W29" s="20"/>
      <c r="X29" s="20"/>
    </row>
    <row r="30">
      <c r="A30" s="20"/>
      <c r="J30" s="20"/>
      <c r="K30" s="20"/>
      <c r="L30" s="20"/>
      <c r="M30" s="20"/>
      <c r="N30" s="20"/>
      <c r="O30" s="20"/>
      <c r="P30" s="45"/>
      <c r="Q30" s="20"/>
      <c r="R30" s="20"/>
      <c r="S30" s="20"/>
      <c r="T30" s="20"/>
      <c r="U30" s="20"/>
      <c r="V30" s="20"/>
      <c r="W30" s="20"/>
      <c r="X30" s="20"/>
    </row>
    <row r="31">
      <c r="A31" s="20"/>
      <c r="J31" s="20"/>
      <c r="K31" s="20"/>
      <c r="L31" s="20"/>
      <c r="M31" s="20"/>
      <c r="N31" s="20"/>
      <c r="O31" s="20"/>
      <c r="P31" s="45"/>
      <c r="Q31" s="20"/>
      <c r="R31" s="20"/>
      <c r="S31" s="20"/>
      <c r="T31" s="20"/>
      <c r="U31" s="20"/>
      <c r="V31" s="20"/>
      <c r="W31" s="20"/>
      <c r="X31" s="20"/>
    </row>
    <row r="32">
      <c r="A32" s="20"/>
      <c r="J32" s="20"/>
      <c r="K32" s="20"/>
      <c r="L32" s="20"/>
      <c r="M32" s="20"/>
      <c r="N32" s="20"/>
      <c r="O32" s="20"/>
      <c r="P32" s="45"/>
      <c r="Q32" s="20"/>
      <c r="R32" s="20"/>
      <c r="S32" s="20"/>
      <c r="T32" s="20"/>
      <c r="U32" s="20"/>
      <c r="V32" s="20"/>
      <c r="W32" s="20"/>
      <c r="X32" s="20"/>
    </row>
    <row r="33" ht="15.75" customHeight="1">
      <c r="A33" s="20"/>
      <c r="J33" s="20"/>
      <c r="K33" s="20"/>
      <c r="L33" s="20"/>
      <c r="M33" s="20"/>
      <c r="N33" s="20"/>
      <c r="O33" s="20"/>
      <c r="P33" s="45"/>
      <c r="Q33" s="20"/>
      <c r="R33" s="20"/>
      <c r="S33" s="20"/>
      <c r="T33" s="20"/>
      <c r="U33" s="20"/>
      <c r="V33" s="20"/>
      <c r="W33" s="20"/>
      <c r="X33" s="20"/>
    </row>
    <row r="34" ht="15.75" customHeight="1">
      <c r="A34" s="20"/>
      <c r="J34" s="20"/>
      <c r="K34" s="20"/>
      <c r="L34" s="20"/>
      <c r="M34" s="20"/>
      <c r="N34" s="20"/>
      <c r="O34" s="20"/>
      <c r="P34" s="45"/>
      <c r="Q34" s="20"/>
      <c r="R34" s="20"/>
      <c r="S34" s="20"/>
      <c r="T34" s="20"/>
      <c r="U34" s="20"/>
      <c r="V34" s="20"/>
      <c r="W34" s="20"/>
      <c r="X34" s="20"/>
    </row>
    <row r="35" ht="15.75" customHeight="1">
      <c r="A35" s="20"/>
      <c r="J35" s="20"/>
      <c r="K35" s="20"/>
      <c r="L35" s="20"/>
      <c r="M35" s="20"/>
      <c r="N35" s="20"/>
      <c r="O35" s="20"/>
      <c r="P35" s="45"/>
      <c r="Q35" s="20"/>
      <c r="R35" s="20"/>
      <c r="S35" s="20"/>
      <c r="T35" s="20"/>
      <c r="U35" s="20"/>
      <c r="V35" s="20"/>
      <c r="W35" s="20"/>
      <c r="X35" s="20"/>
    </row>
    <row r="36" ht="15.75" customHeight="1">
      <c r="A36" s="20"/>
      <c r="J36" s="20"/>
      <c r="K36" s="20"/>
      <c r="L36" s="20"/>
      <c r="M36" s="20"/>
      <c r="N36" s="20"/>
      <c r="O36" s="20"/>
      <c r="P36" s="45"/>
      <c r="Q36" s="20"/>
      <c r="R36" s="20"/>
      <c r="S36" s="20"/>
      <c r="T36" s="20"/>
      <c r="U36" s="20"/>
      <c r="V36" s="20"/>
      <c r="W36" s="20"/>
      <c r="X36" s="20"/>
    </row>
    <row r="37" ht="15.75" customHeight="1">
      <c r="A37" s="20"/>
      <c r="J37" s="20"/>
      <c r="K37" s="20"/>
      <c r="L37" s="20"/>
      <c r="M37" s="20"/>
      <c r="N37" s="20"/>
      <c r="O37" s="20"/>
      <c r="P37" s="45"/>
      <c r="Q37" s="20"/>
      <c r="R37" s="20"/>
      <c r="S37" s="20"/>
      <c r="T37" s="20"/>
      <c r="U37" s="20"/>
      <c r="V37" s="20"/>
      <c r="W37" s="20"/>
      <c r="X37" s="20"/>
    </row>
    <row r="38" ht="15.75" customHeight="1">
      <c r="A38" s="20"/>
      <c r="J38" s="20"/>
      <c r="K38" s="20"/>
      <c r="L38" s="20"/>
      <c r="M38" s="20"/>
      <c r="N38" s="20"/>
      <c r="O38" s="20"/>
      <c r="P38" s="45"/>
      <c r="Q38" s="20"/>
      <c r="R38" s="20"/>
      <c r="S38" s="20"/>
      <c r="T38" s="20"/>
      <c r="U38" s="20"/>
      <c r="V38" s="20"/>
      <c r="W38" s="20"/>
      <c r="X38" s="20"/>
    </row>
    <row r="39" ht="15.75" customHeight="1">
      <c r="A39" s="20"/>
      <c r="J39" s="20"/>
      <c r="K39" s="20"/>
      <c r="L39" s="20"/>
      <c r="M39" s="20"/>
      <c r="N39" s="20"/>
      <c r="O39" s="20"/>
      <c r="P39" s="45"/>
      <c r="Q39" s="20"/>
      <c r="R39" s="20"/>
      <c r="S39" s="20"/>
      <c r="T39" s="20"/>
      <c r="U39" s="20"/>
      <c r="V39" s="20"/>
      <c r="W39" s="20"/>
      <c r="X39" s="20"/>
    </row>
    <row r="40" ht="15.75" customHeight="1">
      <c r="A40" s="20"/>
      <c r="J40" s="20"/>
      <c r="K40" s="20"/>
      <c r="L40" s="20"/>
      <c r="M40" s="20"/>
      <c r="N40" s="20"/>
      <c r="O40" s="20"/>
      <c r="P40" s="45"/>
      <c r="Q40" s="20"/>
      <c r="R40" s="20"/>
      <c r="S40" s="20"/>
      <c r="T40" s="20"/>
      <c r="U40" s="20"/>
      <c r="V40" s="20"/>
      <c r="W40" s="20"/>
      <c r="X40" s="20"/>
    </row>
    <row r="41" ht="15.75" customHeight="1">
      <c r="A41" s="20"/>
      <c r="J41" s="20"/>
      <c r="K41" s="20"/>
      <c r="L41" s="20"/>
      <c r="M41" s="20"/>
      <c r="N41" s="20"/>
      <c r="O41" s="20"/>
      <c r="P41" s="45"/>
      <c r="Q41" s="20"/>
      <c r="R41" s="20"/>
      <c r="S41" s="20"/>
      <c r="T41" s="20"/>
      <c r="U41" s="20"/>
      <c r="V41" s="20"/>
      <c r="W41" s="20"/>
      <c r="X41" s="20"/>
    </row>
    <row r="42" ht="15.75" customHeight="1">
      <c r="A42" s="20"/>
      <c r="J42" s="20"/>
      <c r="K42" s="20"/>
      <c r="L42" s="20"/>
      <c r="M42" s="20"/>
      <c r="N42" s="20"/>
      <c r="O42" s="20"/>
      <c r="P42" s="45"/>
      <c r="Q42" s="20"/>
      <c r="R42" s="20"/>
      <c r="S42" s="20"/>
      <c r="T42" s="20"/>
      <c r="U42" s="20"/>
      <c r="V42" s="20"/>
      <c r="W42" s="20"/>
      <c r="X42" s="20"/>
    </row>
    <row r="43" ht="15.75" customHeight="1">
      <c r="A43" s="20"/>
      <c r="J43" s="20"/>
      <c r="K43" s="20"/>
      <c r="L43" s="20"/>
      <c r="M43" s="20"/>
      <c r="N43" s="20"/>
      <c r="O43" s="20"/>
      <c r="P43" s="45"/>
      <c r="Q43" s="20"/>
      <c r="R43" s="20"/>
      <c r="S43" s="20"/>
      <c r="T43" s="20"/>
      <c r="U43" s="20"/>
      <c r="V43" s="20"/>
      <c r="W43" s="20"/>
      <c r="X43" s="20"/>
    </row>
    <row r="44" ht="15.75" customHeight="1">
      <c r="A44" s="20"/>
      <c r="J44" s="20"/>
      <c r="K44" s="20"/>
      <c r="L44" s="20"/>
      <c r="M44" s="20"/>
      <c r="N44" s="20"/>
      <c r="O44" s="20"/>
      <c r="P44" s="20"/>
      <c r="Q44" s="20"/>
      <c r="R44" s="20"/>
      <c r="S44" s="20"/>
      <c r="T44" s="20"/>
      <c r="U44" s="20"/>
      <c r="V44" s="20"/>
      <c r="W44" s="20"/>
      <c r="X44" s="20"/>
    </row>
    <row r="45" ht="15.75" customHeight="1">
      <c r="A45" s="20"/>
      <c r="J45" s="20"/>
      <c r="K45" s="20"/>
      <c r="L45" s="20"/>
      <c r="M45" s="20"/>
      <c r="N45" s="20"/>
      <c r="O45" s="20"/>
      <c r="P45" s="20"/>
      <c r="Q45" s="20"/>
      <c r="R45" s="20"/>
      <c r="S45" s="20"/>
      <c r="T45" s="20"/>
      <c r="U45" s="20"/>
      <c r="V45" s="20"/>
      <c r="W45" s="20"/>
      <c r="X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row>
    <row r="48" ht="27.75" customHeight="1">
      <c r="A48" s="20"/>
      <c r="J48" s="20"/>
      <c r="K48" s="20"/>
      <c r="L48" s="20"/>
      <c r="M48" s="20"/>
      <c r="N48" s="20"/>
      <c r="O48" s="20"/>
      <c r="P48" s="20"/>
      <c r="Q48" s="20"/>
      <c r="R48" s="20"/>
      <c r="S48" s="20"/>
      <c r="T48" s="20"/>
      <c r="U48" s="20"/>
      <c r="V48" s="20"/>
      <c r="W48" s="20"/>
      <c r="X48" s="20"/>
    </row>
    <row r="49" ht="15.75" customHeight="1">
      <c r="A49" s="20"/>
      <c r="J49" s="20"/>
      <c r="K49" s="20"/>
      <c r="L49" s="20"/>
      <c r="M49" s="20"/>
      <c r="N49" s="20"/>
      <c r="O49" s="20"/>
      <c r="P49" s="20"/>
      <c r="Q49" s="20"/>
      <c r="R49" s="20"/>
      <c r="S49" s="20"/>
      <c r="T49" s="20"/>
      <c r="U49" s="20"/>
      <c r="V49" s="20"/>
      <c r="W49" s="20"/>
      <c r="X49" s="20"/>
    </row>
    <row r="50" ht="15.75" customHeight="1">
      <c r="A50" s="20"/>
      <c r="J50" s="20"/>
      <c r="K50" s="20"/>
      <c r="L50" s="46"/>
      <c r="M50" s="20"/>
      <c r="N50" s="20"/>
      <c r="O50" s="20"/>
      <c r="P50" s="20"/>
      <c r="Q50" s="20"/>
      <c r="R50" s="20"/>
      <c r="S50" s="20"/>
      <c r="T50" s="20"/>
      <c r="U50" s="20"/>
      <c r="V50" s="20"/>
      <c r="W50" s="20"/>
      <c r="X50" s="20"/>
    </row>
    <row r="51" ht="15.75" customHeight="1">
      <c r="A51" s="20"/>
      <c r="J51" s="20"/>
      <c r="K51" s="20"/>
      <c r="L51" s="46"/>
      <c r="M51" s="20"/>
      <c r="N51" s="20"/>
      <c r="O51" s="20"/>
      <c r="P51" s="20"/>
      <c r="Q51" s="20"/>
      <c r="R51" s="20"/>
      <c r="S51" s="20"/>
      <c r="T51" s="20"/>
      <c r="U51" s="20"/>
      <c r="V51" s="20"/>
      <c r="W51" s="20"/>
      <c r="X51" s="20"/>
    </row>
    <row r="52" ht="15.75" customHeight="1">
      <c r="A52" s="20"/>
      <c r="J52" s="20"/>
      <c r="K52" s="20"/>
      <c r="L52" s="46"/>
      <c r="M52" s="20"/>
      <c r="N52" s="20"/>
      <c r="O52" s="20"/>
      <c r="P52" s="20"/>
      <c r="Q52" s="20"/>
      <c r="R52" s="20"/>
      <c r="S52" s="20"/>
      <c r="T52" s="20"/>
      <c r="U52" s="20"/>
      <c r="V52" s="20"/>
      <c r="W52" s="20"/>
      <c r="X52" s="20"/>
    </row>
    <row r="53" ht="15.75" customHeight="1">
      <c r="A53" s="20"/>
      <c r="J53" s="20"/>
      <c r="K53" s="20"/>
      <c r="L53" s="46"/>
      <c r="M53" s="20"/>
      <c r="N53" s="20"/>
      <c r="O53" s="20"/>
      <c r="P53" s="20"/>
      <c r="Q53" s="20"/>
      <c r="R53" s="20"/>
      <c r="S53" s="20"/>
      <c r="T53" s="20"/>
      <c r="U53" s="20"/>
      <c r="V53" s="20"/>
      <c r="W53" s="20"/>
      <c r="X53" s="20"/>
    </row>
    <row r="54" ht="15.75" customHeight="1">
      <c r="A54" s="20"/>
      <c r="J54" s="20"/>
      <c r="K54" s="20"/>
      <c r="L54" s="46"/>
      <c r="M54" s="47"/>
      <c r="N54" s="20"/>
      <c r="O54" s="20"/>
      <c r="P54" s="20"/>
      <c r="Q54" s="20"/>
      <c r="R54" s="20"/>
      <c r="S54" s="20"/>
      <c r="T54" s="20"/>
      <c r="U54" s="20"/>
      <c r="V54" s="20"/>
      <c r="W54" s="20"/>
      <c r="X54" s="20"/>
    </row>
    <row r="55" ht="15.75" customHeight="1">
      <c r="A55" s="20"/>
      <c r="J55" s="20"/>
      <c r="K55" s="20"/>
      <c r="L55" s="20"/>
      <c r="M55" s="20"/>
      <c r="N55" s="20"/>
      <c r="O55" s="20"/>
      <c r="P55" s="20"/>
      <c r="Q55" s="20"/>
      <c r="R55" s="20"/>
      <c r="S55" s="20"/>
      <c r="T55" s="20"/>
      <c r="U55" s="20"/>
      <c r="V55" s="20"/>
      <c r="W55" s="20"/>
      <c r="X55" s="20"/>
    </row>
    <row r="56" ht="15.75" customHeight="1">
      <c r="A56" s="20"/>
      <c r="J56" s="20"/>
      <c r="K56" s="20"/>
      <c r="L56" s="20"/>
      <c r="M56" s="20"/>
      <c r="N56" s="20"/>
      <c r="O56" s="20"/>
      <c r="P56" s="20"/>
      <c r="Q56" s="20"/>
      <c r="R56" s="20"/>
      <c r="S56" s="20"/>
      <c r="T56" s="20"/>
      <c r="U56" s="20"/>
      <c r="V56" s="20"/>
      <c r="W56" s="20"/>
      <c r="X56" s="20"/>
    </row>
    <row r="57" ht="15.75" customHeight="1">
      <c r="A57" s="20"/>
      <c r="J57" s="20"/>
      <c r="K57" s="20"/>
      <c r="L57" s="20"/>
      <c r="M57" s="20"/>
      <c r="N57" s="20"/>
      <c r="O57" s="20"/>
      <c r="P57" s="20"/>
      <c r="Q57" s="20"/>
      <c r="R57" s="20"/>
      <c r="S57" s="20"/>
      <c r="T57" s="20"/>
      <c r="U57" s="20"/>
      <c r="V57" s="20"/>
      <c r="W57" s="20"/>
      <c r="X57" s="20"/>
    </row>
    <row r="58" ht="15.75" customHeight="1">
      <c r="A58" s="20"/>
      <c r="J58" s="20"/>
      <c r="K58" s="20"/>
      <c r="L58" s="20"/>
      <c r="M58" s="20"/>
      <c r="N58" s="20"/>
      <c r="O58" s="20"/>
      <c r="P58" s="20"/>
      <c r="Q58" s="20"/>
      <c r="R58" s="20"/>
      <c r="S58" s="20"/>
      <c r="T58" s="20"/>
      <c r="U58" s="20"/>
      <c r="V58" s="20"/>
      <c r="W58" s="20"/>
      <c r="X58" s="20"/>
    </row>
    <row r="59" ht="15.75" customHeight="1">
      <c r="A59" s="20"/>
      <c r="J59" s="20"/>
      <c r="K59" s="20"/>
      <c r="L59" s="20"/>
      <c r="M59" s="20"/>
      <c r="N59" s="20"/>
      <c r="O59" s="20"/>
      <c r="P59" s="20"/>
      <c r="Q59" s="20"/>
      <c r="R59" s="20"/>
      <c r="S59" s="20"/>
      <c r="T59" s="20"/>
      <c r="U59" s="20"/>
      <c r="V59" s="20"/>
      <c r="W59" s="20"/>
      <c r="X59" s="20"/>
    </row>
    <row r="60" ht="15.75" customHeight="1">
      <c r="A60" s="20"/>
      <c r="J60" s="20"/>
      <c r="K60" s="20"/>
      <c r="L60" s="20"/>
      <c r="M60" s="20"/>
      <c r="N60" s="20"/>
      <c r="O60" s="20"/>
      <c r="P60" s="20"/>
      <c r="Q60" s="20"/>
      <c r="R60" s="20"/>
      <c r="S60" s="20"/>
      <c r="T60" s="20"/>
      <c r="U60" s="20"/>
      <c r="V60" s="20"/>
      <c r="W60" s="20"/>
      <c r="X60" s="20"/>
    </row>
    <row r="61" ht="15.75" customHeight="1">
      <c r="A61" s="20"/>
      <c r="J61" s="20"/>
      <c r="K61" s="20"/>
      <c r="L61" s="20"/>
      <c r="M61" s="20"/>
      <c r="N61" s="20"/>
      <c r="O61" s="20"/>
      <c r="P61" s="20"/>
      <c r="Q61" s="20"/>
      <c r="R61" s="20"/>
      <c r="S61" s="20"/>
      <c r="T61" s="20"/>
      <c r="U61" s="20"/>
      <c r="V61" s="20"/>
      <c r="W61" s="20"/>
      <c r="X61" s="20"/>
    </row>
    <row r="62" ht="15.75" customHeight="1">
      <c r="A62" s="20"/>
      <c r="J62" s="20"/>
      <c r="K62" s="20"/>
      <c r="L62" s="20"/>
      <c r="M62" s="20"/>
      <c r="N62" s="20"/>
      <c r="O62" s="20"/>
      <c r="P62" s="20"/>
      <c r="Q62" s="20"/>
      <c r="R62" s="20"/>
      <c r="S62" s="20"/>
      <c r="T62" s="20"/>
      <c r="U62" s="20"/>
      <c r="V62" s="20"/>
      <c r="W62" s="20"/>
      <c r="X62" s="20"/>
    </row>
    <row r="63" ht="15.75" customHeight="1">
      <c r="A63" s="20"/>
      <c r="J63" s="20"/>
      <c r="K63" s="20"/>
      <c r="L63" s="20"/>
      <c r="M63" s="20"/>
      <c r="N63" s="20"/>
      <c r="O63" s="20"/>
      <c r="P63" s="20"/>
      <c r="Q63" s="20"/>
      <c r="R63" s="20"/>
      <c r="S63" s="20"/>
      <c r="T63" s="20"/>
      <c r="U63" s="20"/>
      <c r="V63" s="20"/>
      <c r="W63" s="20"/>
      <c r="X63" s="20"/>
    </row>
    <row r="64" ht="15.75" customHeight="1">
      <c r="A64" s="20"/>
      <c r="J64" s="20"/>
      <c r="K64" s="20"/>
      <c r="L64" s="20"/>
      <c r="M64" s="20"/>
      <c r="N64" s="20"/>
      <c r="O64" s="20"/>
      <c r="P64" s="20"/>
      <c r="Q64" s="20"/>
      <c r="R64" s="20"/>
      <c r="S64" s="20"/>
      <c r="T64" s="20"/>
      <c r="U64" s="20"/>
      <c r="V64" s="20"/>
      <c r="W64" s="20"/>
      <c r="X64" s="20"/>
    </row>
    <row r="65" ht="15.75" customHeight="1">
      <c r="A65" s="20"/>
      <c r="J65" s="20"/>
      <c r="K65" s="20"/>
      <c r="L65" s="20"/>
      <c r="M65" s="20"/>
      <c r="N65" s="20"/>
      <c r="O65" s="20"/>
      <c r="P65" s="20"/>
      <c r="Q65" s="20"/>
      <c r="R65" s="20"/>
      <c r="S65" s="20"/>
      <c r="T65" s="20"/>
      <c r="U65" s="20"/>
      <c r="V65" s="20"/>
      <c r="W65" s="20"/>
      <c r="X65" s="20"/>
    </row>
    <row r="66" ht="15.75" customHeight="1">
      <c r="A66" s="20"/>
      <c r="J66" s="20"/>
      <c r="K66" s="20"/>
      <c r="L66" s="20"/>
      <c r="M66" s="20"/>
      <c r="N66" s="20"/>
      <c r="O66" s="20"/>
      <c r="P66" s="20"/>
      <c r="Q66" s="20"/>
      <c r="R66" s="20"/>
      <c r="S66" s="20"/>
      <c r="T66" s="20"/>
      <c r="U66" s="20"/>
      <c r="V66" s="20"/>
      <c r="W66" s="20"/>
      <c r="X66" s="20"/>
    </row>
    <row r="67" ht="15.75" customHeight="1">
      <c r="A67" s="20"/>
      <c r="J67" s="20"/>
      <c r="K67" s="20"/>
      <c r="L67" s="20"/>
      <c r="M67" s="20"/>
      <c r="N67" s="20"/>
      <c r="O67" s="20"/>
      <c r="P67" s="20"/>
      <c r="Q67" s="20"/>
      <c r="R67" s="20"/>
      <c r="S67" s="20"/>
      <c r="T67" s="20"/>
      <c r="U67" s="20"/>
      <c r="V67" s="20"/>
      <c r="W67" s="20"/>
      <c r="X67" s="20"/>
    </row>
    <row r="68" ht="15.75" customHeight="1">
      <c r="A68" s="20"/>
      <c r="J68" s="20"/>
      <c r="K68" s="20"/>
      <c r="L68" s="20"/>
      <c r="M68" s="20"/>
      <c r="N68" s="20"/>
      <c r="O68" s="20"/>
      <c r="P68" s="20"/>
      <c r="Q68" s="20"/>
      <c r="R68" s="20"/>
      <c r="S68" s="20"/>
      <c r="T68" s="20"/>
      <c r="U68" s="20"/>
      <c r="V68" s="20"/>
      <c r="W68" s="20"/>
      <c r="X68" s="20"/>
    </row>
    <row r="69" ht="15.75" customHeight="1">
      <c r="A69" s="20"/>
      <c r="J69" s="20"/>
      <c r="K69" s="20"/>
      <c r="L69" s="20"/>
      <c r="M69" s="20"/>
      <c r="N69" s="20"/>
      <c r="O69" s="20"/>
      <c r="P69" s="20"/>
      <c r="Q69" s="20"/>
      <c r="R69" s="20"/>
      <c r="S69" s="20"/>
      <c r="T69" s="20"/>
      <c r="U69" s="20"/>
      <c r="V69" s="20"/>
      <c r="W69" s="20"/>
      <c r="X69" s="20"/>
    </row>
    <row r="70" ht="15.75" customHeight="1">
      <c r="A70" s="20"/>
      <c r="J70" s="20"/>
      <c r="K70" s="20"/>
      <c r="L70" s="20"/>
      <c r="M70" s="20"/>
      <c r="N70" s="20"/>
      <c r="O70" s="20"/>
      <c r="P70" s="20"/>
      <c r="Q70" s="20"/>
      <c r="R70" s="20"/>
      <c r="S70" s="20"/>
      <c r="T70" s="20"/>
      <c r="U70" s="20"/>
      <c r="V70" s="20"/>
      <c r="W70" s="20"/>
      <c r="X70" s="20"/>
    </row>
    <row r="71" ht="15.75" customHeight="1">
      <c r="A71" s="20"/>
      <c r="J71" s="20"/>
      <c r="K71" s="20"/>
      <c r="L71" s="20"/>
      <c r="M71" s="20"/>
      <c r="N71" s="20"/>
      <c r="O71" s="20"/>
      <c r="P71" s="20"/>
      <c r="Q71" s="20"/>
      <c r="R71" s="20"/>
      <c r="S71" s="20"/>
      <c r="T71" s="20"/>
      <c r="U71" s="20"/>
      <c r="V71" s="20"/>
      <c r="W71" s="20"/>
      <c r="X71" s="20"/>
    </row>
    <row r="72" ht="15.75" customHeight="1">
      <c r="A72" s="20"/>
      <c r="J72" s="20"/>
      <c r="K72" s="20"/>
      <c r="L72" s="20"/>
      <c r="M72" s="20"/>
      <c r="N72" s="20"/>
      <c r="O72" s="20"/>
      <c r="P72" s="20"/>
      <c r="Q72" s="20"/>
      <c r="R72" s="20"/>
      <c r="S72" s="20"/>
      <c r="T72" s="20"/>
      <c r="U72" s="20"/>
      <c r="V72" s="20"/>
      <c r="W72" s="20"/>
      <c r="X72" s="20"/>
    </row>
    <row r="73" ht="15.75" customHeight="1">
      <c r="A73" s="20"/>
      <c r="J73" s="20"/>
      <c r="K73" s="20"/>
      <c r="L73" s="20"/>
      <c r="M73" s="20"/>
      <c r="N73" s="20"/>
      <c r="O73" s="20"/>
      <c r="P73" s="20"/>
      <c r="Q73" s="20"/>
      <c r="R73" s="20"/>
      <c r="S73" s="20"/>
      <c r="T73" s="20"/>
      <c r="U73" s="20"/>
      <c r="V73" s="20"/>
      <c r="W73" s="20"/>
      <c r="X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4">
    <mergeCell ref="B2:X2"/>
    <mergeCell ref="B3:P3"/>
    <mergeCell ref="B5:Z6"/>
    <mergeCell ref="B7:Z8"/>
  </mergeCells>
  <conditionalFormatting sqref="C22:I45">
    <cfRule type="colorScale" priority="1">
      <colorScale>
        <cfvo type="min"/>
        <cfvo type="formula" val="0.1851851852"/>
        <cfvo type="max"/>
        <color rgb="FFFF0000"/>
        <color rgb="FFFFFF00"/>
        <color rgb="FF00FFFF"/>
      </colorScale>
    </cfRule>
  </conditionalFormatting>
  <conditionalFormatting sqref="C50:I73">
    <cfRule type="colorScale" priority="2">
      <colorScale>
        <cfvo type="min"/>
        <cfvo type="formula" val="10"/>
        <cfvo type="max"/>
        <color rgb="FFFF0000"/>
        <color rgb="FFFFFF00"/>
        <color rgb="FF00FFFF"/>
      </colorScale>
    </cfRule>
  </conditionalFormatting>
  <printOptions/>
  <pageMargins bottom="0.75" footer="0.0" header="0.0" left="0.7" right="0.7" top="0.75"/>
  <pageSetup paperSize="9" orientation="portrait"/>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9"/>
    <row r="30"/>
    <row r="31"/>
    <row r="32"/>
    <row r="33"/>
    <row r="34"/>
    <row r="35"/>
    <row r="36"/>
    <row r="37"/>
    <row r="38"/>
    <row r="39"/>
    <row r="40"/>
    <row r="41"/>
    <row r="42"/>
    <row r="43"/>
    <row r="44"/>
    <row r="45"/>
    <row r="46"/>
    <row r="47"/>
    <row r="48"/>
    <row r="49"/>
    <row r="50"/>
    <row r="51"/>
    <row r="52"/>
    <row r="53"/>
    <row r="54"/>
    <row r="57"/>
    <row r="58">
      <c r="I58" s="73" t="s">
        <v>301</v>
      </c>
    </row>
    <row r="59">
      <c r="I59" s="74">
        <f t="shared" ref="I59:I82" si="1">AVERAGE(B59:H59)</f>
        <v>50.42857143</v>
      </c>
    </row>
    <row r="60">
      <c r="I60" s="74">
        <f t="shared" si="1"/>
        <v>42.42857143</v>
      </c>
    </row>
    <row r="61">
      <c r="I61" s="74">
        <f t="shared" si="1"/>
        <v>33.42857143</v>
      </c>
    </row>
    <row r="62">
      <c r="I62" s="74">
        <f t="shared" si="1"/>
        <v>28.28571429</v>
      </c>
    </row>
    <row r="63">
      <c r="I63" s="74">
        <f t="shared" si="1"/>
        <v>26</v>
      </c>
    </row>
    <row r="64">
      <c r="I64" s="74">
        <f t="shared" si="1"/>
        <v>24.85714286</v>
      </c>
    </row>
    <row r="65">
      <c r="I65" s="74">
        <f t="shared" si="1"/>
        <v>28.42857143</v>
      </c>
    </row>
    <row r="66">
      <c r="I66" s="74">
        <f t="shared" si="1"/>
        <v>36</v>
      </c>
    </row>
    <row r="67">
      <c r="I67" s="74">
        <f t="shared" si="1"/>
        <v>44.85714286</v>
      </c>
    </row>
    <row r="68">
      <c r="I68" s="74">
        <f t="shared" si="1"/>
        <v>53.42857143</v>
      </c>
    </row>
    <row r="69">
      <c r="I69" s="74">
        <f t="shared" si="1"/>
        <v>61.28571429</v>
      </c>
    </row>
    <row r="70">
      <c r="I70" s="74">
        <f t="shared" si="1"/>
        <v>62.14285714</v>
      </c>
    </row>
    <row r="71">
      <c r="I71" s="74">
        <f t="shared" si="1"/>
        <v>64.71428571</v>
      </c>
    </row>
    <row r="72">
      <c r="I72" s="74">
        <f t="shared" si="1"/>
        <v>66.14285714</v>
      </c>
    </row>
    <row r="73">
      <c r="I73" s="74">
        <f t="shared" si="1"/>
        <v>62.57142857</v>
      </c>
    </row>
    <row r="74">
      <c r="I74" s="74">
        <f t="shared" si="1"/>
        <v>70.14285714</v>
      </c>
    </row>
    <row r="75">
      <c r="I75" s="74">
        <f t="shared" si="1"/>
        <v>73</v>
      </c>
    </row>
    <row r="76">
      <c r="I76" s="74">
        <f t="shared" si="1"/>
        <v>73.14285714</v>
      </c>
    </row>
    <row r="77">
      <c r="I77" s="74">
        <f t="shared" si="1"/>
        <v>76.57142857</v>
      </c>
    </row>
    <row r="78">
      <c r="I78" s="74">
        <f t="shared" si="1"/>
        <v>80</v>
      </c>
    </row>
    <row r="79">
      <c r="I79" s="74">
        <f t="shared" si="1"/>
        <v>83.28571429</v>
      </c>
    </row>
    <row r="80">
      <c r="I80" s="74">
        <f t="shared" si="1"/>
        <v>79.71428571</v>
      </c>
    </row>
    <row r="81">
      <c r="I81" s="74">
        <f t="shared" si="1"/>
        <v>69.42857143</v>
      </c>
    </row>
    <row r="82">
      <c r="I82" s="74">
        <f t="shared" si="1"/>
        <v>59.14285714</v>
      </c>
    </row>
    <row r="83">
      <c r="A83" s="73" t="s">
        <v>301</v>
      </c>
      <c r="B83" s="74">
        <f t="shared" ref="B83:H83" si="2">AVERAGE(B59:B82)</f>
        <v>50.875</v>
      </c>
      <c r="C83" s="74">
        <f t="shared" si="2"/>
        <v>61.54166667</v>
      </c>
      <c r="D83" s="74">
        <f t="shared" si="2"/>
        <v>60.58333333</v>
      </c>
      <c r="E83" s="74">
        <f t="shared" si="2"/>
        <v>65.08333333</v>
      </c>
      <c r="F83" s="74">
        <f t="shared" si="2"/>
        <v>54.16666667</v>
      </c>
      <c r="G83" s="74">
        <f t="shared" si="2"/>
        <v>52.70833333</v>
      </c>
      <c r="H83" s="74">
        <f t="shared" si="2"/>
        <v>48.625</v>
      </c>
    </row>
    <row r="86"/>
    <row r="87"/>
    <row r="88"/>
    <row r="89"/>
    <row r="90"/>
    <row r="91"/>
    <row r="92"/>
    <row r="93"/>
    <row r="94"/>
    <row r="95"/>
    <row r="96"/>
    <row r="97"/>
    <row r="98"/>
    <row r="99"/>
    <row r="100"/>
    <row r="101"/>
    <row r="102"/>
    <row r="103"/>
    <row r="104"/>
    <row r="105"/>
    <row r="106"/>
    <row r="107"/>
    <row r="108"/>
    <row r="109"/>
    <row r="110"/>
    <row r="111"/>
    <row r="112">
      <c r="E112" s="32">
        <f>SUM(F108:F111,G88)</f>
        <v>157</v>
      </c>
    </row>
  </sheetData>
  <conditionalFormatting sqref="B3:H26">
    <cfRule type="colorScale" priority="1">
      <colorScale>
        <cfvo type="min"/>
        <cfvo type="formula" val="0.9"/>
        <cfvo type="max"/>
        <color rgb="FFFF0000"/>
        <color rgb="FFFFFF00"/>
        <color rgb="FF00FFFF"/>
      </colorScale>
    </cfRule>
  </conditionalFormatting>
  <conditionalFormatting sqref="B31:H54">
    <cfRule type="colorScale" priority="2">
      <colorScale>
        <cfvo type="min"/>
        <cfvo type="formula" val="0.8"/>
        <cfvo type="max"/>
        <color rgb="FFFF0000"/>
        <color rgb="FFFFFF00"/>
        <color rgb="FF00FFFF"/>
      </colorScale>
    </cfRule>
  </conditionalFormatting>
  <conditionalFormatting sqref="B59:H82">
    <cfRule type="colorScale" priority="3">
      <colorScale>
        <cfvo type="formula" val="14"/>
        <cfvo type="formula" val="59"/>
        <cfvo type="max"/>
        <color rgb="FFFF0000"/>
        <color rgb="FFFFFF00"/>
        <color rgb="FF00FFFF"/>
      </colorScale>
    </cfRule>
  </conditionalFormatting>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71"/>
    <col customWidth="1" min="2" max="2" width="15.71"/>
  </cols>
  <sheetData>
    <row r="1">
      <c r="A1" s="75" t="s">
        <v>32</v>
      </c>
      <c r="B1" s="26" t="s">
        <v>35</v>
      </c>
      <c r="C1" s="27" t="s">
        <v>36</v>
      </c>
      <c r="D1" s="76" t="s">
        <v>205</v>
      </c>
    </row>
    <row r="2">
      <c r="A2" s="29">
        <v>6.0</v>
      </c>
      <c r="B2" s="30" t="s">
        <v>231</v>
      </c>
      <c r="C2" s="31" t="s">
        <v>223</v>
      </c>
      <c r="D2" s="76">
        <v>31.0</v>
      </c>
    </row>
    <row r="3">
      <c r="A3" s="29">
        <v>14.0</v>
      </c>
      <c r="B3" s="30" t="s">
        <v>230</v>
      </c>
      <c r="C3" s="31" t="s">
        <v>223</v>
      </c>
      <c r="D3" s="76">
        <v>38.0</v>
      </c>
    </row>
    <row r="4">
      <c r="A4" s="29">
        <v>12.0</v>
      </c>
      <c r="B4" s="30" t="s">
        <v>229</v>
      </c>
      <c r="C4" s="31" t="s">
        <v>223</v>
      </c>
      <c r="D4" s="76">
        <v>46.0</v>
      </c>
    </row>
    <row r="5">
      <c r="A5" s="29">
        <v>2.0</v>
      </c>
      <c r="B5" s="30" t="s">
        <v>228</v>
      </c>
      <c r="C5" s="31" t="s">
        <v>223</v>
      </c>
      <c r="D5" s="76">
        <v>54.0</v>
      </c>
    </row>
    <row r="6">
      <c r="A6" s="29">
        <v>6.0</v>
      </c>
      <c r="B6" s="30" t="s">
        <v>227</v>
      </c>
      <c r="C6" s="31" t="s">
        <v>223</v>
      </c>
      <c r="D6" s="76">
        <v>62.0</v>
      </c>
    </row>
    <row r="7">
      <c r="A7" s="29">
        <v>70.0</v>
      </c>
      <c r="B7" s="30" t="s">
        <v>226</v>
      </c>
      <c r="C7" s="31" t="s">
        <v>223</v>
      </c>
      <c r="D7" s="76">
        <v>62.0</v>
      </c>
    </row>
    <row r="8">
      <c r="A8" s="29">
        <v>33.0</v>
      </c>
      <c r="B8" s="30" t="s">
        <v>249</v>
      </c>
      <c r="C8" s="31" t="s">
        <v>222</v>
      </c>
      <c r="D8" s="76">
        <v>66.0</v>
      </c>
    </row>
    <row r="9">
      <c r="A9" s="29">
        <v>6.0</v>
      </c>
      <c r="B9" s="30" t="s">
        <v>248</v>
      </c>
      <c r="C9" s="31" t="s">
        <v>222</v>
      </c>
      <c r="D9" s="76">
        <v>76.0</v>
      </c>
    </row>
    <row r="10">
      <c r="A10" s="29">
        <v>17.0</v>
      </c>
      <c r="B10" s="30" t="s">
        <v>247</v>
      </c>
      <c r="C10" s="31" t="s">
        <v>222</v>
      </c>
      <c r="D10" s="76">
        <v>73.0</v>
      </c>
    </row>
    <row r="11">
      <c r="A11" s="29">
        <v>48.0</v>
      </c>
      <c r="B11" s="30" t="s">
        <v>246</v>
      </c>
      <c r="C11" s="31" t="s">
        <v>222</v>
      </c>
      <c r="D11" s="76">
        <v>68.0</v>
      </c>
    </row>
    <row r="12">
      <c r="A12" s="29">
        <v>47.0</v>
      </c>
      <c r="B12" s="30" t="s">
        <v>245</v>
      </c>
      <c r="C12" s="31" t="s">
        <v>222</v>
      </c>
      <c r="D12" s="76">
        <v>68.0</v>
      </c>
    </row>
    <row r="13">
      <c r="A13" s="29">
        <v>71.0</v>
      </c>
      <c r="B13" s="30" t="s">
        <v>244</v>
      </c>
      <c r="C13" s="31" t="s">
        <v>222</v>
      </c>
      <c r="D13" s="76">
        <v>66.0</v>
      </c>
    </row>
    <row r="14">
      <c r="A14" s="29">
        <v>32.0</v>
      </c>
      <c r="B14" s="30" t="s">
        <v>243</v>
      </c>
      <c r="C14" s="31" t="s">
        <v>222</v>
      </c>
      <c r="D14" s="76">
        <v>64.0</v>
      </c>
    </row>
    <row r="15">
      <c r="A15" s="29">
        <v>27.0</v>
      </c>
      <c r="B15" s="30" t="s">
        <v>242</v>
      </c>
      <c r="C15" s="31" t="s">
        <v>222</v>
      </c>
      <c r="D15" s="76">
        <v>67.0</v>
      </c>
    </row>
    <row r="16">
      <c r="A16" s="29">
        <v>7.0</v>
      </c>
      <c r="B16" s="30" t="s">
        <v>241</v>
      </c>
      <c r="C16" s="31" t="s">
        <v>222</v>
      </c>
      <c r="D16" s="76">
        <v>70.0</v>
      </c>
    </row>
    <row r="17">
      <c r="A17" s="29">
        <v>11.0</v>
      </c>
      <c r="B17" s="30" t="s">
        <v>240</v>
      </c>
      <c r="C17" s="31" t="s">
        <v>222</v>
      </c>
      <c r="D17" s="76">
        <v>53.0</v>
      </c>
    </row>
    <row r="19">
      <c r="A19" s="76"/>
    </row>
    <row r="20">
      <c r="A20" s="76"/>
    </row>
    <row r="21">
      <c r="A21" s="76"/>
    </row>
    <row r="22">
      <c r="A22" s="76"/>
    </row>
    <row r="23">
      <c r="A23" s="76"/>
    </row>
    <row r="24">
      <c r="A24" s="76"/>
    </row>
    <row r="25">
      <c r="A25" s="76"/>
    </row>
    <row r="26">
      <c r="A26" s="76"/>
    </row>
    <row r="27">
      <c r="A27" s="76"/>
    </row>
    <row r="28">
      <c r="A28" s="76"/>
    </row>
    <row r="29">
      <c r="A29" s="76"/>
    </row>
    <row r="30">
      <c r="A30" s="76"/>
    </row>
    <row r="31">
      <c r="A31" s="76"/>
    </row>
    <row r="32">
      <c r="A32" s="76"/>
    </row>
    <row r="33">
      <c r="A33" s="76"/>
    </row>
    <row r="34">
      <c r="A34" s="76"/>
    </row>
    <row r="35">
      <c r="A35" s="76"/>
    </row>
    <row r="36">
      <c r="A36" s="76"/>
    </row>
    <row r="37">
      <c r="A37" s="76"/>
    </row>
    <row r="38">
      <c r="A38" s="76"/>
    </row>
    <row r="39">
      <c r="A39" s="76"/>
    </row>
    <row r="40">
      <c r="A40" s="76"/>
    </row>
    <row r="41">
      <c r="A41" s="76"/>
    </row>
    <row r="42">
      <c r="A42" s="76"/>
    </row>
    <row r="43">
      <c r="A43" s="76"/>
    </row>
    <row r="44">
      <c r="A44" s="76"/>
    </row>
    <row r="45">
      <c r="A45" s="76"/>
    </row>
    <row r="46">
      <c r="A46" s="76"/>
    </row>
    <row r="47">
      <c r="A47" s="76"/>
    </row>
    <row r="48">
      <c r="A48" s="76"/>
    </row>
    <row r="49">
      <c r="A49" s="76"/>
    </row>
    <row r="50">
      <c r="A50" s="76"/>
    </row>
    <row r="51">
      <c r="A51" s="76"/>
    </row>
    <row r="52">
      <c r="A52" s="76"/>
    </row>
    <row r="53">
      <c r="A53" s="76"/>
    </row>
    <row r="54">
      <c r="A54" s="76"/>
    </row>
    <row r="55">
      <c r="A55" s="76"/>
    </row>
    <row r="56">
      <c r="A56" s="76"/>
    </row>
    <row r="57">
      <c r="A57" s="76"/>
    </row>
    <row r="58">
      <c r="A58" s="76"/>
    </row>
    <row r="59">
      <c r="A59" s="76"/>
    </row>
    <row r="60">
      <c r="A60" s="76"/>
    </row>
    <row r="61">
      <c r="A61" s="76"/>
    </row>
    <row r="62">
      <c r="A62" s="76"/>
    </row>
    <row r="63">
      <c r="A63" s="76"/>
    </row>
    <row r="64">
      <c r="A64" s="76"/>
    </row>
    <row r="65">
      <c r="A65" s="76"/>
    </row>
    <row r="66">
      <c r="A66" s="76"/>
    </row>
    <row r="67">
      <c r="A67" s="76"/>
    </row>
    <row r="68">
      <c r="A68" s="76"/>
    </row>
    <row r="69">
      <c r="A69" s="76"/>
    </row>
    <row r="70">
      <c r="A70" s="76"/>
    </row>
    <row r="71">
      <c r="A71" s="76"/>
    </row>
    <row r="72">
      <c r="A72" s="76"/>
    </row>
    <row r="73">
      <c r="A73" s="76"/>
    </row>
    <row r="74">
      <c r="A74" s="76"/>
    </row>
    <row r="75">
      <c r="A75" s="76"/>
    </row>
    <row r="76">
      <c r="A76" s="76"/>
    </row>
    <row r="77">
      <c r="A77" s="76"/>
    </row>
    <row r="78">
      <c r="A78" s="76"/>
    </row>
    <row r="79">
      <c r="A79" s="76"/>
    </row>
    <row r="80">
      <c r="A80" s="76"/>
    </row>
    <row r="81">
      <c r="A81" s="76"/>
    </row>
    <row r="82">
      <c r="A82" s="76"/>
    </row>
    <row r="83">
      <c r="A83" s="76"/>
    </row>
    <row r="84">
      <c r="A84" s="76"/>
    </row>
    <row r="85">
      <c r="A85" s="76"/>
    </row>
    <row r="86">
      <c r="A86" s="76"/>
    </row>
    <row r="87">
      <c r="A87" s="76"/>
    </row>
    <row r="88">
      <c r="A88" s="76"/>
    </row>
    <row r="89">
      <c r="A89" s="76"/>
    </row>
    <row r="90">
      <c r="A90" s="76"/>
    </row>
    <row r="91">
      <c r="A91" s="76"/>
    </row>
    <row r="92">
      <c r="A92" s="76"/>
    </row>
    <row r="93">
      <c r="A93" s="76"/>
    </row>
    <row r="94">
      <c r="A94" s="76"/>
    </row>
    <row r="95">
      <c r="A95" s="76"/>
    </row>
    <row r="96">
      <c r="A96" s="76"/>
    </row>
    <row r="97">
      <c r="A97" s="76"/>
    </row>
    <row r="98">
      <c r="A98" s="76"/>
    </row>
    <row r="99">
      <c r="A99" s="76"/>
    </row>
    <row r="100">
      <c r="A100" s="76"/>
    </row>
    <row r="101">
      <c r="A101" s="76"/>
    </row>
    <row r="102">
      <c r="A102" s="76"/>
    </row>
    <row r="103">
      <c r="A103" s="76"/>
    </row>
    <row r="104">
      <c r="A104" s="76"/>
    </row>
    <row r="105">
      <c r="A105" s="76"/>
    </row>
    <row r="106">
      <c r="A106" s="76"/>
    </row>
    <row r="107">
      <c r="A107" s="76"/>
    </row>
    <row r="108">
      <c r="A108" s="76"/>
    </row>
    <row r="109">
      <c r="A109" s="76"/>
    </row>
    <row r="110">
      <c r="A110" s="76"/>
    </row>
    <row r="111">
      <c r="A111" s="76"/>
    </row>
    <row r="112">
      <c r="A112" s="76"/>
    </row>
    <row r="113">
      <c r="A113" s="76"/>
    </row>
    <row r="114">
      <c r="A114" s="76"/>
    </row>
    <row r="115">
      <c r="A115" s="76"/>
    </row>
    <row r="116">
      <c r="A116" s="76"/>
    </row>
    <row r="117">
      <c r="A117" s="76"/>
    </row>
    <row r="118">
      <c r="A118" s="76"/>
    </row>
    <row r="119">
      <c r="A119" s="76"/>
    </row>
    <row r="120">
      <c r="A120" s="76"/>
    </row>
    <row r="121">
      <c r="A121" s="76"/>
    </row>
    <row r="122">
      <c r="A122" s="76"/>
    </row>
    <row r="123">
      <c r="A123" s="76"/>
    </row>
    <row r="124">
      <c r="A124" s="76"/>
    </row>
    <row r="125">
      <c r="A125" s="76"/>
    </row>
    <row r="126">
      <c r="A126" s="76"/>
    </row>
    <row r="127">
      <c r="A127" s="76"/>
    </row>
    <row r="128">
      <c r="A128" s="76"/>
    </row>
    <row r="129">
      <c r="A129" s="76"/>
    </row>
    <row r="130">
      <c r="A130" s="76"/>
    </row>
    <row r="131">
      <c r="A131" s="76"/>
    </row>
    <row r="132">
      <c r="A132" s="76"/>
    </row>
    <row r="133">
      <c r="A133" s="76"/>
    </row>
    <row r="134">
      <c r="A134" s="76"/>
    </row>
    <row r="135">
      <c r="A135" s="76"/>
    </row>
    <row r="136">
      <c r="A136" s="76"/>
    </row>
    <row r="137">
      <c r="A137" s="76"/>
    </row>
    <row r="138">
      <c r="A138" s="76"/>
    </row>
    <row r="139">
      <c r="A139" s="76"/>
    </row>
    <row r="140">
      <c r="A140" s="76"/>
    </row>
    <row r="141">
      <c r="A141" s="76"/>
    </row>
    <row r="142">
      <c r="A142" s="76"/>
    </row>
    <row r="143">
      <c r="A143" s="76"/>
    </row>
    <row r="144">
      <c r="A144" s="76"/>
    </row>
    <row r="145">
      <c r="A145" s="76"/>
    </row>
    <row r="146">
      <c r="A146" s="76"/>
    </row>
    <row r="147">
      <c r="A147" s="76"/>
    </row>
    <row r="148">
      <c r="A148" s="76"/>
    </row>
    <row r="149">
      <c r="A149" s="76"/>
    </row>
    <row r="150">
      <c r="A150" s="76"/>
    </row>
    <row r="151">
      <c r="A151" s="76"/>
    </row>
    <row r="152">
      <c r="A152" s="76"/>
    </row>
    <row r="153">
      <c r="A153" s="76"/>
    </row>
    <row r="154">
      <c r="A154" s="76"/>
    </row>
    <row r="155">
      <c r="A155" s="76"/>
    </row>
    <row r="156">
      <c r="A156" s="76"/>
    </row>
    <row r="157">
      <c r="A157" s="76"/>
    </row>
    <row r="158">
      <c r="A158" s="76"/>
    </row>
    <row r="159">
      <c r="A159" s="76"/>
    </row>
    <row r="160">
      <c r="A160" s="76"/>
    </row>
    <row r="161">
      <c r="A161" s="76"/>
    </row>
    <row r="162">
      <c r="A162" s="76"/>
    </row>
    <row r="163">
      <c r="A163" s="76"/>
    </row>
    <row r="164">
      <c r="A164" s="76"/>
    </row>
    <row r="165">
      <c r="A165" s="76"/>
    </row>
    <row r="166">
      <c r="A166" s="76"/>
    </row>
    <row r="167">
      <c r="A167" s="76"/>
    </row>
    <row r="168">
      <c r="A168" s="76"/>
    </row>
    <row r="169">
      <c r="A169" s="76"/>
    </row>
    <row r="170">
      <c r="A170" s="76"/>
    </row>
    <row r="171">
      <c r="A171" s="76"/>
    </row>
    <row r="172">
      <c r="A172" s="76"/>
    </row>
    <row r="173">
      <c r="A173" s="76"/>
    </row>
    <row r="174">
      <c r="A174" s="76"/>
    </row>
    <row r="175">
      <c r="A175" s="76"/>
    </row>
    <row r="176">
      <c r="A176" s="76"/>
    </row>
    <row r="177">
      <c r="A177" s="76"/>
    </row>
    <row r="178">
      <c r="A178" s="76"/>
    </row>
    <row r="179">
      <c r="A179" s="76"/>
    </row>
    <row r="180">
      <c r="A180" s="76"/>
    </row>
    <row r="181">
      <c r="A181" s="76"/>
    </row>
    <row r="182">
      <c r="A182" s="76"/>
    </row>
    <row r="183">
      <c r="A183" s="76"/>
    </row>
    <row r="184">
      <c r="A184" s="76"/>
    </row>
    <row r="185">
      <c r="A185" s="76"/>
    </row>
    <row r="186">
      <c r="A186" s="76"/>
    </row>
    <row r="188">
      <c r="A188" s="76"/>
    </row>
    <row r="189">
      <c r="A189" s="76"/>
    </row>
    <row r="190">
      <c r="A190" s="76"/>
    </row>
    <row r="191">
      <c r="A191" s="76"/>
    </row>
    <row r="192">
      <c r="A192" s="76"/>
    </row>
    <row r="193">
      <c r="A193" s="76"/>
    </row>
    <row r="194">
      <c r="A194" s="76"/>
    </row>
    <row r="195">
      <c r="A195" s="76"/>
    </row>
    <row r="196">
      <c r="A196" s="76"/>
    </row>
    <row r="197">
      <c r="A197" s="76"/>
    </row>
    <row r="198">
      <c r="A198" s="76"/>
    </row>
    <row r="199">
      <c r="A199" s="76"/>
    </row>
    <row r="200">
      <c r="A200" s="76"/>
    </row>
    <row r="201">
      <c r="A201" s="76"/>
    </row>
    <row r="202">
      <c r="A202" s="76"/>
    </row>
    <row r="203">
      <c r="A203" s="76"/>
    </row>
    <row r="204">
      <c r="A204" s="76"/>
    </row>
    <row r="205">
      <c r="A205" s="76"/>
    </row>
    <row r="206">
      <c r="A206" s="76"/>
    </row>
    <row r="207">
      <c r="A207" s="76"/>
    </row>
    <row r="208">
      <c r="A208" s="76"/>
    </row>
    <row r="209">
      <c r="A209" s="76"/>
    </row>
    <row r="210">
      <c r="A210" s="76"/>
    </row>
    <row r="211">
      <c r="A211" s="76"/>
    </row>
    <row r="212">
      <c r="A212" s="76"/>
    </row>
    <row r="213">
      <c r="A213" s="76"/>
    </row>
    <row r="214">
      <c r="A214" s="76"/>
    </row>
    <row r="215">
      <c r="A215" s="76"/>
    </row>
    <row r="216">
      <c r="A216" s="76"/>
    </row>
    <row r="217">
      <c r="A217" s="76"/>
    </row>
    <row r="218">
      <c r="A218" s="76"/>
    </row>
    <row r="219">
      <c r="A219" s="76"/>
    </row>
    <row r="220">
      <c r="A220" s="76"/>
    </row>
    <row r="221">
      <c r="A221" s="76"/>
    </row>
    <row r="222">
      <c r="A222" s="76"/>
    </row>
    <row r="223">
      <c r="A223" s="76"/>
    </row>
    <row r="224">
      <c r="A224" s="76"/>
    </row>
    <row r="225">
      <c r="A225" s="76"/>
    </row>
    <row r="226">
      <c r="A226" s="76"/>
    </row>
    <row r="227">
      <c r="A227" s="76"/>
    </row>
    <row r="228">
      <c r="A228" s="76"/>
    </row>
    <row r="229">
      <c r="A229" s="76"/>
    </row>
    <row r="230">
      <c r="A230" s="76"/>
    </row>
    <row r="231">
      <c r="A231" s="76"/>
    </row>
    <row r="232">
      <c r="A232" s="76"/>
    </row>
    <row r="233">
      <c r="A233" s="76"/>
    </row>
    <row r="234">
      <c r="A234" s="76"/>
    </row>
    <row r="235">
      <c r="A235" s="76"/>
    </row>
    <row r="236">
      <c r="A236" s="76"/>
    </row>
    <row r="237">
      <c r="A237" s="76"/>
    </row>
    <row r="238">
      <c r="A238" s="76"/>
    </row>
    <row r="239">
      <c r="A239" s="76"/>
    </row>
    <row r="240">
      <c r="A240" s="76"/>
    </row>
    <row r="241">
      <c r="A241" s="76"/>
    </row>
    <row r="242">
      <c r="A242" s="76"/>
    </row>
    <row r="243">
      <c r="A243" s="76"/>
    </row>
    <row r="244">
      <c r="A244" s="76"/>
    </row>
    <row r="245">
      <c r="A245" s="76"/>
    </row>
    <row r="246">
      <c r="A246" s="76"/>
    </row>
    <row r="247">
      <c r="A247" s="76"/>
    </row>
    <row r="248">
      <c r="A248" s="76"/>
    </row>
    <row r="249">
      <c r="A249" s="76"/>
    </row>
    <row r="250">
      <c r="A250" s="76"/>
    </row>
    <row r="251">
      <c r="A251" s="76"/>
    </row>
    <row r="252">
      <c r="A252" s="76"/>
    </row>
    <row r="253">
      <c r="A253" s="76"/>
    </row>
    <row r="254">
      <c r="A254" s="76"/>
    </row>
    <row r="255">
      <c r="A255" s="76"/>
    </row>
    <row r="256">
      <c r="A256" s="76"/>
    </row>
    <row r="257">
      <c r="A257" s="76"/>
    </row>
    <row r="258">
      <c r="A258" s="76"/>
    </row>
    <row r="259">
      <c r="A259" s="76"/>
    </row>
    <row r="260">
      <c r="A260" s="76"/>
    </row>
    <row r="261">
      <c r="A261" s="76"/>
    </row>
    <row r="262">
      <c r="A262" s="76"/>
    </row>
    <row r="263">
      <c r="A263" s="76"/>
    </row>
    <row r="264">
      <c r="A264" s="76"/>
    </row>
    <row r="265">
      <c r="A265" s="76"/>
    </row>
    <row r="266">
      <c r="A266" s="76"/>
    </row>
    <row r="267">
      <c r="A267" s="76"/>
    </row>
    <row r="268">
      <c r="A268" s="76"/>
    </row>
    <row r="269">
      <c r="A269" s="76"/>
    </row>
    <row r="270">
      <c r="A270" s="76"/>
    </row>
    <row r="271">
      <c r="A271" s="76"/>
    </row>
    <row r="272">
      <c r="A272" s="76"/>
    </row>
    <row r="273">
      <c r="A273" s="76"/>
    </row>
    <row r="274">
      <c r="A274" s="76"/>
    </row>
    <row r="275">
      <c r="A275" s="76"/>
    </row>
    <row r="276">
      <c r="A276" s="76"/>
    </row>
    <row r="277">
      <c r="A277" s="76"/>
    </row>
    <row r="278">
      <c r="A278" s="76"/>
    </row>
    <row r="279">
      <c r="A279" s="76"/>
    </row>
    <row r="280">
      <c r="A280" s="76"/>
    </row>
    <row r="281">
      <c r="A281" s="76"/>
    </row>
    <row r="282">
      <c r="A282" s="76"/>
    </row>
    <row r="283">
      <c r="A283" s="76"/>
    </row>
    <row r="284">
      <c r="A284" s="76"/>
    </row>
    <row r="285">
      <c r="A285" s="76"/>
    </row>
    <row r="286">
      <c r="A286" s="76"/>
    </row>
    <row r="287">
      <c r="A287" s="76"/>
    </row>
    <row r="288">
      <c r="A288" s="76"/>
    </row>
    <row r="289">
      <c r="A289" s="76"/>
    </row>
    <row r="290">
      <c r="A290" s="76"/>
    </row>
    <row r="291">
      <c r="A291" s="76"/>
    </row>
    <row r="292">
      <c r="A292" s="76"/>
    </row>
    <row r="293">
      <c r="A293" s="76"/>
    </row>
    <row r="294">
      <c r="A294" s="76"/>
    </row>
    <row r="295">
      <c r="A295" s="76"/>
    </row>
    <row r="296">
      <c r="A296" s="76"/>
    </row>
    <row r="297">
      <c r="A297" s="76"/>
    </row>
    <row r="298">
      <c r="A298" s="76"/>
    </row>
    <row r="299">
      <c r="A299" s="76"/>
    </row>
    <row r="300">
      <c r="A300" s="76"/>
    </row>
    <row r="301">
      <c r="A301" s="76"/>
    </row>
    <row r="302">
      <c r="A302" s="76"/>
    </row>
    <row r="303">
      <c r="A303" s="76"/>
    </row>
    <row r="304">
      <c r="A304" s="76"/>
    </row>
    <row r="305">
      <c r="A305" s="76"/>
    </row>
    <row r="306">
      <c r="A306" s="76"/>
    </row>
    <row r="307">
      <c r="A307" s="76"/>
    </row>
    <row r="308">
      <c r="A308" s="76"/>
    </row>
    <row r="309">
      <c r="A309" s="76"/>
    </row>
    <row r="310">
      <c r="A310" s="76"/>
    </row>
    <row r="311">
      <c r="A311" s="76"/>
    </row>
    <row r="312">
      <c r="A312" s="76"/>
    </row>
    <row r="313">
      <c r="A313" s="76"/>
    </row>
    <row r="314">
      <c r="A314" s="76"/>
    </row>
    <row r="315">
      <c r="A315" s="76"/>
    </row>
    <row r="316">
      <c r="A316" s="76"/>
    </row>
    <row r="317">
      <c r="A317" s="76"/>
    </row>
    <row r="318">
      <c r="A318" s="76"/>
    </row>
    <row r="319">
      <c r="A319" s="76"/>
    </row>
    <row r="320">
      <c r="A320" s="76"/>
    </row>
    <row r="321">
      <c r="A321" s="76"/>
    </row>
    <row r="322">
      <c r="A322" s="76"/>
    </row>
    <row r="323">
      <c r="A323" s="76"/>
    </row>
    <row r="324">
      <c r="A324" s="76"/>
    </row>
    <row r="325">
      <c r="A325" s="76"/>
    </row>
    <row r="326">
      <c r="A326" s="76"/>
    </row>
    <row r="327">
      <c r="A327" s="76"/>
    </row>
    <row r="328">
      <c r="A328" s="76"/>
    </row>
    <row r="329">
      <c r="A329" s="76"/>
    </row>
    <row r="330">
      <c r="A330" s="76"/>
    </row>
    <row r="331">
      <c r="A331" s="76"/>
    </row>
    <row r="332">
      <c r="A332" s="76"/>
    </row>
    <row r="333">
      <c r="A333" s="76"/>
    </row>
    <row r="334">
      <c r="A334" s="76"/>
    </row>
    <row r="335">
      <c r="A335" s="76"/>
    </row>
    <row r="336">
      <c r="A336" s="76"/>
    </row>
    <row r="337">
      <c r="A337" s="76"/>
    </row>
    <row r="338">
      <c r="A338" s="76"/>
    </row>
    <row r="339">
      <c r="A339" s="76"/>
    </row>
    <row r="340">
      <c r="A340" s="76"/>
    </row>
    <row r="341">
      <c r="A341" s="76"/>
    </row>
    <row r="342">
      <c r="A342" s="76"/>
    </row>
    <row r="343">
      <c r="A343" s="76"/>
    </row>
    <row r="344">
      <c r="A344" s="76"/>
    </row>
    <row r="345">
      <c r="A345" s="76"/>
    </row>
    <row r="346">
      <c r="A346" s="76"/>
    </row>
    <row r="347">
      <c r="A347" s="76"/>
    </row>
    <row r="348">
      <c r="A348" s="76"/>
    </row>
    <row r="349">
      <c r="A349" s="76"/>
    </row>
    <row r="350">
      <c r="A350" s="76"/>
    </row>
    <row r="351">
      <c r="A351" s="76"/>
    </row>
    <row r="352">
      <c r="A352" s="76"/>
    </row>
    <row r="353">
      <c r="A353" s="76"/>
    </row>
    <row r="354">
      <c r="A354" s="76"/>
    </row>
    <row r="355">
      <c r="A355" s="76"/>
    </row>
    <row r="357">
      <c r="A357" s="76"/>
    </row>
    <row r="358">
      <c r="A358" s="76"/>
    </row>
    <row r="359">
      <c r="A359" s="76"/>
    </row>
    <row r="360">
      <c r="A360" s="76"/>
    </row>
    <row r="361">
      <c r="A361" s="76"/>
    </row>
    <row r="362">
      <c r="A362" s="76"/>
    </row>
    <row r="363">
      <c r="A363" s="76"/>
    </row>
    <row r="364">
      <c r="A364" s="76"/>
    </row>
    <row r="365">
      <c r="A365" s="76"/>
    </row>
    <row r="366">
      <c r="A366" s="76"/>
    </row>
    <row r="367">
      <c r="A367" s="76"/>
    </row>
    <row r="368">
      <c r="A368" s="76"/>
    </row>
    <row r="369">
      <c r="A369" s="76"/>
    </row>
    <row r="370">
      <c r="A370" s="76"/>
    </row>
    <row r="371">
      <c r="A371" s="76"/>
    </row>
    <row r="372">
      <c r="A372" s="76"/>
    </row>
    <row r="373">
      <c r="A373" s="76"/>
    </row>
    <row r="374">
      <c r="A374" s="76"/>
    </row>
    <row r="375">
      <c r="A375" s="76"/>
    </row>
    <row r="376">
      <c r="A376" s="76"/>
    </row>
    <row r="377">
      <c r="A377" s="76"/>
    </row>
    <row r="378">
      <c r="A378" s="76"/>
    </row>
    <row r="379">
      <c r="A379" s="76"/>
    </row>
    <row r="380">
      <c r="A380" s="76"/>
    </row>
    <row r="381">
      <c r="A381" s="76"/>
    </row>
    <row r="382">
      <c r="A382" s="76"/>
    </row>
    <row r="383">
      <c r="A383" s="76"/>
    </row>
    <row r="384">
      <c r="A384" s="76"/>
    </row>
    <row r="385">
      <c r="A385" s="76"/>
    </row>
    <row r="386">
      <c r="A386" s="76"/>
    </row>
    <row r="387">
      <c r="A387" s="76"/>
    </row>
    <row r="388">
      <c r="A388" s="76"/>
    </row>
    <row r="389">
      <c r="A389" s="76"/>
    </row>
    <row r="390">
      <c r="A390" s="76"/>
    </row>
    <row r="391">
      <c r="A391" s="76"/>
    </row>
    <row r="392">
      <c r="A392" s="76"/>
    </row>
    <row r="393">
      <c r="A393" s="76"/>
    </row>
    <row r="394">
      <c r="A394" s="76"/>
    </row>
    <row r="395">
      <c r="A395" s="76"/>
    </row>
    <row r="396">
      <c r="A396" s="76"/>
    </row>
    <row r="397">
      <c r="A397" s="76"/>
    </row>
    <row r="398">
      <c r="A398" s="76"/>
    </row>
    <row r="399">
      <c r="A399" s="76"/>
    </row>
    <row r="400">
      <c r="A400" s="76"/>
    </row>
    <row r="401">
      <c r="A401" s="76"/>
    </row>
    <row r="402">
      <c r="A402" s="76"/>
    </row>
    <row r="403">
      <c r="A403" s="76"/>
    </row>
    <row r="404">
      <c r="A404" s="76"/>
    </row>
    <row r="405">
      <c r="A405" s="76"/>
    </row>
    <row r="406">
      <c r="A406" s="76"/>
    </row>
    <row r="407">
      <c r="A407" s="76"/>
    </row>
    <row r="408">
      <c r="A408" s="76"/>
    </row>
    <row r="409">
      <c r="A409" s="76"/>
    </row>
    <row r="410">
      <c r="A410" s="76"/>
    </row>
    <row r="411">
      <c r="A411" s="76"/>
    </row>
    <row r="412">
      <c r="A412" s="76"/>
    </row>
    <row r="413">
      <c r="A413" s="76"/>
    </row>
    <row r="414">
      <c r="A414" s="76"/>
    </row>
    <row r="415">
      <c r="A415" s="76"/>
    </row>
    <row r="416">
      <c r="A416" s="76"/>
    </row>
    <row r="417">
      <c r="A417" s="76"/>
    </row>
    <row r="418">
      <c r="A418" s="76"/>
    </row>
    <row r="419">
      <c r="A419" s="76"/>
    </row>
    <row r="420">
      <c r="A420" s="76"/>
    </row>
    <row r="421">
      <c r="A421" s="76"/>
    </row>
    <row r="422">
      <c r="A422" s="76"/>
    </row>
    <row r="423">
      <c r="A423" s="76"/>
    </row>
    <row r="424">
      <c r="A424" s="76"/>
    </row>
    <row r="425">
      <c r="A425" s="76"/>
    </row>
    <row r="426">
      <c r="A426" s="76"/>
    </row>
    <row r="427">
      <c r="A427" s="76"/>
    </row>
    <row r="428">
      <c r="A428" s="76"/>
    </row>
    <row r="429">
      <c r="A429" s="76"/>
    </row>
    <row r="430">
      <c r="A430" s="76"/>
    </row>
    <row r="431">
      <c r="A431" s="76"/>
    </row>
    <row r="432">
      <c r="A432" s="76"/>
    </row>
    <row r="433">
      <c r="A433" s="76"/>
    </row>
    <row r="434">
      <c r="A434" s="76"/>
    </row>
    <row r="435">
      <c r="A435" s="76"/>
    </row>
    <row r="436">
      <c r="A436" s="76"/>
    </row>
    <row r="437">
      <c r="A437" s="76"/>
    </row>
    <row r="438">
      <c r="A438" s="76"/>
    </row>
    <row r="439">
      <c r="A439" s="76"/>
    </row>
    <row r="440">
      <c r="A440" s="76"/>
    </row>
    <row r="441">
      <c r="A441" s="76"/>
    </row>
    <row r="442">
      <c r="A442" s="76"/>
    </row>
    <row r="443">
      <c r="A443" s="76"/>
    </row>
    <row r="444">
      <c r="A444" s="76"/>
    </row>
    <row r="445">
      <c r="A445" s="76"/>
    </row>
    <row r="446">
      <c r="A446" s="76"/>
    </row>
    <row r="447">
      <c r="A447" s="76"/>
    </row>
    <row r="448">
      <c r="A448" s="76"/>
    </row>
    <row r="449">
      <c r="A449" s="76"/>
    </row>
    <row r="450">
      <c r="A450" s="76"/>
    </row>
    <row r="451">
      <c r="A451" s="76"/>
    </row>
    <row r="452">
      <c r="A452" s="76"/>
    </row>
    <row r="453">
      <c r="A453" s="76"/>
    </row>
    <row r="454">
      <c r="A454" s="76"/>
    </row>
    <row r="455">
      <c r="A455" s="76"/>
    </row>
    <row r="456">
      <c r="A456" s="76"/>
    </row>
    <row r="457">
      <c r="A457" s="76"/>
    </row>
    <row r="458">
      <c r="A458" s="76"/>
    </row>
    <row r="459">
      <c r="A459" s="76"/>
    </row>
    <row r="460">
      <c r="A460" s="76"/>
    </row>
    <row r="461">
      <c r="A461" s="76"/>
    </row>
    <row r="462">
      <c r="A462" s="76"/>
    </row>
    <row r="463">
      <c r="A463" s="76"/>
    </row>
    <row r="464">
      <c r="A464" s="76"/>
    </row>
    <row r="465">
      <c r="A465" s="76"/>
    </row>
    <row r="466">
      <c r="A466" s="76"/>
    </row>
    <row r="467">
      <c r="A467" s="76"/>
    </row>
    <row r="468">
      <c r="A468" s="76"/>
    </row>
    <row r="469">
      <c r="A469" s="76"/>
    </row>
    <row r="470">
      <c r="A470" s="76"/>
    </row>
    <row r="471">
      <c r="A471" s="76"/>
    </row>
    <row r="472">
      <c r="A472" s="76"/>
    </row>
    <row r="473">
      <c r="A473" s="76"/>
    </row>
    <row r="474">
      <c r="A474" s="76"/>
    </row>
    <row r="475">
      <c r="A475" s="76"/>
    </row>
    <row r="476">
      <c r="A476" s="76"/>
    </row>
    <row r="477">
      <c r="A477" s="76"/>
    </row>
    <row r="478">
      <c r="A478" s="76"/>
    </row>
    <row r="479">
      <c r="A479" s="76"/>
    </row>
    <row r="480">
      <c r="A480" s="76"/>
    </row>
    <row r="481">
      <c r="A481" s="76"/>
    </row>
    <row r="482">
      <c r="A482" s="76"/>
    </row>
    <row r="483">
      <c r="A483" s="76"/>
    </row>
    <row r="484">
      <c r="A484" s="76"/>
    </row>
    <row r="485">
      <c r="A485" s="76"/>
    </row>
    <row r="486">
      <c r="A486" s="76"/>
    </row>
    <row r="487">
      <c r="A487" s="76"/>
    </row>
    <row r="488">
      <c r="A488" s="76"/>
    </row>
    <row r="489">
      <c r="A489" s="76"/>
    </row>
    <row r="490">
      <c r="A490" s="76"/>
    </row>
    <row r="491">
      <c r="A491" s="76"/>
    </row>
    <row r="492">
      <c r="A492" s="76"/>
    </row>
    <row r="493">
      <c r="A493" s="76"/>
    </row>
    <row r="494">
      <c r="A494" s="76"/>
    </row>
    <row r="495">
      <c r="A495" s="76"/>
    </row>
    <row r="496">
      <c r="A496" s="76"/>
    </row>
    <row r="497">
      <c r="A497" s="76"/>
    </row>
    <row r="498">
      <c r="A498" s="76"/>
    </row>
    <row r="499">
      <c r="A499" s="76"/>
    </row>
    <row r="500">
      <c r="A500" s="76"/>
    </row>
    <row r="501">
      <c r="A501" s="76"/>
    </row>
    <row r="502">
      <c r="A502" s="76"/>
    </row>
    <row r="503">
      <c r="A503" s="76"/>
    </row>
    <row r="504">
      <c r="A504" s="76"/>
    </row>
    <row r="505">
      <c r="A505" s="76"/>
    </row>
    <row r="506">
      <c r="A506" s="76"/>
    </row>
    <row r="507">
      <c r="A507" s="76"/>
    </row>
    <row r="508">
      <c r="A508" s="76"/>
    </row>
    <row r="509">
      <c r="A509" s="76"/>
    </row>
    <row r="510">
      <c r="A510" s="76"/>
    </row>
    <row r="511">
      <c r="A511" s="76"/>
    </row>
    <row r="512">
      <c r="A512" s="76"/>
    </row>
    <row r="513">
      <c r="A513" s="76"/>
    </row>
    <row r="514">
      <c r="A514" s="76"/>
    </row>
    <row r="515">
      <c r="A515" s="76"/>
    </row>
    <row r="516">
      <c r="A516" s="76"/>
    </row>
    <row r="517">
      <c r="A517" s="76"/>
    </row>
    <row r="518">
      <c r="A518" s="76"/>
    </row>
    <row r="519">
      <c r="A519" s="76"/>
    </row>
    <row r="520">
      <c r="A520" s="76"/>
    </row>
    <row r="521">
      <c r="A521" s="76"/>
    </row>
    <row r="522">
      <c r="A522" s="76"/>
    </row>
    <row r="523">
      <c r="A523" s="76"/>
    </row>
    <row r="524">
      <c r="A524" s="76"/>
    </row>
    <row r="526">
      <c r="A526" s="76"/>
    </row>
    <row r="527">
      <c r="A527" s="76"/>
    </row>
    <row r="528">
      <c r="A528" s="76"/>
    </row>
    <row r="529">
      <c r="A529" s="76"/>
    </row>
    <row r="530">
      <c r="A530" s="76"/>
    </row>
    <row r="531">
      <c r="A531" s="76"/>
    </row>
    <row r="532">
      <c r="A532" s="76"/>
    </row>
    <row r="533">
      <c r="A533" s="76"/>
    </row>
    <row r="534">
      <c r="A534" s="76"/>
    </row>
    <row r="535">
      <c r="A535" s="76"/>
    </row>
    <row r="536">
      <c r="A536" s="76"/>
    </row>
    <row r="537">
      <c r="A537" s="76"/>
    </row>
    <row r="538">
      <c r="A538" s="76"/>
    </row>
    <row r="539">
      <c r="A539" s="76"/>
    </row>
    <row r="540">
      <c r="A540" s="76"/>
    </row>
    <row r="541">
      <c r="A541" s="76"/>
    </row>
    <row r="542">
      <c r="A542" s="76"/>
    </row>
    <row r="543">
      <c r="A543" s="76"/>
    </row>
    <row r="544">
      <c r="A544" s="76"/>
    </row>
    <row r="545">
      <c r="A545" s="76"/>
    </row>
    <row r="546">
      <c r="A546" s="76"/>
    </row>
    <row r="547">
      <c r="A547" s="76"/>
    </row>
    <row r="548">
      <c r="A548" s="76"/>
    </row>
    <row r="549">
      <c r="A549" s="76"/>
    </row>
    <row r="550">
      <c r="A550" s="76"/>
    </row>
    <row r="551">
      <c r="A551" s="76"/>
    </row>
    <row r="552">
      <c r="A552" s="76"/>
    </row>
    <row r="553">
      <c r="A553" s="76"/>
    </row>
    <row r="554">
      <c r="A554" s="76"/>
    </row>
    <row r="555">
      <c r="A555" s="76"/>
    </row>
    <row r="556">
      <c r="A556" s="76"/>
    </row>
    <row r="557">
      <c r="A557" s="76"/>
    </row>
    <row r="558">
      <c r="A558" s="76"/>
    </row>
    <row r="559">
      <c r="A559" s="76"/>
    </row>
    <row r="560">
      <c r="A560" s="76"/>
    </row>
    <row r="561">
      <c r="A561" s="76"/>
    </row>
    <row r="562">
      <c r="A562" s="76"/>
    </row>
    <row r="563">
      <c r="A563" s="76"/>
    </row>
    <row r="564">
      <c r="A564" s="76"/>
    </row>
    <row r="565">
      <c r="A565" s="76"/>
    </row>
    <row r="566">
      <c r="A566" s="76"/>
    </row>
    <row r="567">
      <c r="A567" s="76"/>
    </row>
    <row r="568">
      <c r="A568" s="76"/>
    </row>
    <row r="569">
      <c r="A569" s="76"/>
    </row>
    <row r="570">
      <c r="A570" s="76"/>
    </row>
    <row r="571">
      <c r="A571" s="76"/>
    </row>
    <row r="572">
      <c r="A572" s="76"/>
    </row>
    <row r="573">
      <c r="A573" s="76"/>
    </row>
    <row r="574">
      <c r="A574" s="76"/>
    </row>
    <row r="575">
      <c r="A575" s="76"/>
    </row>
    <row r="576">
      <c r="A576" s="76"/>
    </row>
    <row r="577">
      <c r="A577" s="76"/>
    </row>
    <row r="578">
      <c r="A578" s="76"/>
    </row>
    <row r="579">
      <c r="A579" s="76"/>
    </row>
    <row r="580">
      <c r="A580" s="76"/>
    </row>
    <row r="581">
      <c r="A581" s="76"/>
    </row>
    <row r="582">
      <c r="A582" s="76"/>
    </row>
    <row r="583">
      <c r="A583" s="76"/>
    </row>
    <row r="584">
      <c r="A584" s="76"/>
    </row>
    <row r="585">
      <c r="A585" s="76"/>
    </row>
    <row r="586">
      <c r="A586" s="76"/>
    </row>
    <row r="587">
      <c r="A587" s="76"/>
    </row>
    <row r="588">
      <c r="A588" s="76"/>
    </row>
    <row r="589">
      <c r="A589" s="76"/>
    </row>
    <row r="590">
      <c r="A590" s="76"/>
    </row>
    <row r="591">
      <c r="A591" s="76"/>
    </row>
    <row r="592">
      <c r="A592" s="76"/>
    </row>
    <row r="593">
      <c r="A593" s="76"/>
    </row>
    <row r="594">
      <c r="A594" s="76"/>
    </row>
    <row r="595">
      <c r="A595" s="76"/>
    </row>
    <row r="596">
      <c r="A596" s="76"/>
    </row>
    <row r="597">
      <c r="A597" s="76"/>
    </row>
    <row r="598">
      <c r="A598" s="76"/>
    </row>
    <row r="599">
      <c r="A599" s="76"/>
    </row>
    <row r="600">
      <c r="A600" s="76"/>
    </row>
    <row r="601">
      <c r="A601" s="76"/>
    </row>
    <row r="602">
      <c r="A602" s="76"/>
    </row>
    <row r="603">
      <c r="A603" s="76"/>
    </row>
    <row r="604">
      <c r="A604" s="76"/>
    </row>
    <row r="605">
      <c r="A605" s="76"/>
    </row>
    <row r="606">
      <c r="A606" s="76"/>
    </row>
    <row r="607">
      <c r="A607" s="76"/>
    </row>
    <row r="608">
      <c r="A608" s="76"/>
    </row>
    <row r="609">
      <c r="A609" s="76"/>
    </row>
    <row r="610">
      <c r="A610" s="76"/>
    </row>
    <row r="611">
      <c r="A611" s="76"/>
    </row>
    <row r="612">
      <c r="A612" s="76"/>
    </row>
    <row r="613">
      <c r="A613" s="76"/>
    </row>
    <row r="614">
      <c r="A614" s="76"/>
    </row>
    <row r="615">
      <c r="A615" s="76"/>
    </row>
    <row r="616">
      <c r="A616" s="76"/>
    </row>
    <row r="617">
      <c r="A617" s="76"/>
    </row>
    <row r="618">
      <c r="A618" s="76"/>
    </row>
    <row r="619">
      <c r="A619" s="76"/>
    </row>
    <row r="620">
      <c r="A620" s="76"/>
    </row>
    <row r="621">
      <c r="A621" s="76"/>
    </row>
    <row r="622">
      <c r="A622" s="76"/>
    </row>
    <row r="623">
      <c r="A623" s="76"/>
    </row>
    <row r="624">
      <c r="A624" s="76"/>
    </row>
    <row r="625">
      <c r="A625" s="76"/>
    </row>
    <row r="626">
      <c r="A626" s="76"/>
    </row>
    <row r="627">
      <c r="A627" s="76"/>
    </row>
    <row r="628">
      <c r="A628" s="76"/>
    </row>
    <row r="629">
      <c r="A629" s="76"/>
    </row>
    <row r="630">
      <c r="A630" s="76"/>
    </row>
    <row r="631">
      <c r="A631" s="76"/>
    </row>
    <row r="632">
      <c r="A632" s="76"/>
    </row>
    <row r="633">
      <c r="A633" s="76"/>
    </row>
    <row r="634">
      <c r="A634" s="76"/>
    </row>
    <row r="635">
      <c r="A635" s="76"/>
    </row>
    <row r="636">
      <c r="A636" s="76"/>
    </row>
    <row r="637">
      <c r="A637" s="76"/>
    </row>
    <row r="638">
      <c r="A638" s="76"/>
    </row>
    <row r="639">
      <c r="A639" s="76"/>
    </row>
    <row r="640">
      <c r="A640" s="76"/>
    </row>
    <row r="641">
      <c r="A641" s="76"/>
    </row>
    <row r="642">
      <c r="A642" s="76"/>
    </row>
    <row r="643">
      <c r="A643" s="76"/>
    </row>
    <row r="644">
      <c r="A644" s="76"/>
    </row>
    <row r="645">
      <c r="A645" s="76"/>
    </row>
    <row r="646">
      <c r="A646" s="76"/>
    </row>
    <row r="647">
      <c r="A647" s="76"/>
    </row>
    <row r="648">
      <c r="A648" s="76"/>
    </row>
    <row r="649">
      <c r="A649" s="76"/>
    </row>
    <row r="650">
      <c r="A650" s="76"/>
    </row>
    <row r="651">
      <c r="A651" s="76"/>
    </row>
    <row r="652">
      <c r="A652" s="76"/>
    </row>
    <row r="653">
      <c r="A653" s="76"/>
    </row>
    <row r="654">
      <c r="A654" s="76"/>
    </row>
    <row r="655">
      <c r="A655" s="76"/>
    </row>
    <row r="656">
      <c r="A656" s="76"/>
    </row>
    <row r="657">
      <c r="A657" s="76"/>
    </row>
    <row r="658">
      <c r="A658" s="76"/>
    </row>
    <row r="659">
      <c r="A659" s="76"/>
    </row>
    <row r="660">
      <c r="A660" s="76"/>
    </row>
    <row r="661">
      <c r="A661" s="76"/>
    </row>
    <row r="662">
      <c r="A662" s="76"/>
    </row>
    <row r="663">
      <c r="A663" s="76"/>
    </row>
    <row r="664">
      <c r="A664" s="76"/>
    </row>
    <row r="665">
      <c r="A665" s="76"/>
    </row>
    <row r="666">
      <c r="A666" s="76"/>
    </row>
    <row r="667">
      <c r="A667" s="76"/>
    </row>
    <row r="668">
      <c r="A668" s="76"/>
    </row>
    <row r="669">
      <c r="A669" s="76"/>
    </row>
    <row r="670">
      <c r="A670" s="76"/>
    </row>
    <row r="671">
      <c r="A671" s="76"/>
    </row>
    <row r="672">
      <c r="A672" s="76"/>
    </row>
    <row r="673">
      <c r="A673" s="76"/>
    </row>
    <row r="674">
      <c r="A674" s="76"/>
    </row>
    <row r="675">
      <c r="A675" s="76"/>
    </row>
    <row r="676">
      <c r="A676" s="76"/>
    </row>
    <row r="677">
      <c r="A677" s="76"/>
    </row>
    <row r="678">
      <c r="A678" s="76"/>
    </row>
    <row r="679">
      <c r="A679" s="76"/>
    </row>
    <row r="680">
      <c r="A680" s="76"/>
    </row>
    <row r="681">
      <c r="A681" s="76"/>
    </row>
    <row r="682">
      <c r="A682" s="76"/>
    </row>
    <row r="683">
      <c r="A683" s="76"/>
    </row>
    <row r="684">
      <c r="A684" s="76"/>
    </row>
    <row r="685">
      <c r="A685" s="76"/>
    </row>
    <row r="686">
      <c r="A686" s="76"/>
    </row>
    <row r="687">
      <c r="A687" s="76"/>
    </row>
    <row r="688">
      <c r="A688" s="76"/>
    </row>
    <row r="689">
      <c r="A689" s="76"/>
    </row>
    <row r="690">
      <c r="A690" s="76"/>
    </row>
    <row r="691">
      <c r="A691" s="76"/>
    </row>
    <row r="692">
      <c r="A692" s="76"/>
    </row>
    <row r="693">
      <c r="A693" s="76"/>
    </row>
  </sheetData>
  <drawing r:id="rId1"/>
</worksheet>
</file>